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de2b0926b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권역별 요약" sheetId="1" r:id="R548c7a10a8944c83"/>
    <x:sheet xmlns:r="http://schemas.openxmlformats.org/officeDocument/2006/relationships" name="01_김용훈" sheetId="2" r:id="Rad332816d36b4926"/>
    <x:sheet xmlns:r="http://schemas.openxmlformats.org/officeDocument/2006/relationships" name="02_김정훈" sheetId="3" r:id="Re069d6ad4a0e4dff"/>
    <x:sheet xmlns:r="http://schemas.openxmlformats.org/officeDocument/2006/relationships" name="03_김현섭" sheetId="4" r:id="R71afdfe1b3364b4d"/>
    <x:sheet xmlns:r="http://schemas.openxmlformats.org/officeDocument/2006/relationships" name="04_손대만" sheetId="5" r:id="R15be08fd6a2043df"/>
    <x:sheet xmlns:r="http://schemas.openxmlformats.org/officeDocument/2006/relationships" name="05_신승현" sheetId="6" r:id="R391958f8692c4379"/>
    <x:sheet xmlns:r="http://schemas.openxmlformats.org/officeDocument/2006/relationships" name="06_이정일" sheetId="7" r:id="R6154a98c151e416b"/>
    <x:sheet xmlns:r="http://schemas.openxmlformats.org/officeDocument/2006/relationships" name="07_이현석" sheetId="8" r:id="Rccb82a1aced6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 hh:mm"/>
    <x:numFmt numFmtId="203" formatCode="#,##0&quot;명&quot;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68758A"/>
      <x:name val="Carlito"/>
    </x:font>
    <x:font>
      <x:b/>
      <x:sz val="11"/>
      <x:color rgb="FF183B66"/>
      <x:name val="Carlito"/>
    </x:font>
    <x:font>
      <x:sz val="11"/>
      <x:color rgb="FF142033"/>
      <x:name val="Carlito"/>
    </x:font>
    <x:font>
      <x:b/>
      <x:sz val="11"/>
      <x:color rgb="FF247A4B"/>
      <x:name val="Carlito"/>
    </x:font>
    <x:font>
      <x:b/>
      <x:sz val="11"/>
      <x:color rgb="FFB8640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F2F5F8"/>
      </x:patternFill>
    </x:fill>
    <x:fill>
      <x:patternFill patternType="solid">
        <x:fgColor rgb="FFE9F0FF"/>
      </x:patternFill>
    </x:fill>
    <x:fill>
      <x:patternFill patternType="solid">
        <x:fgColor rgb="FFE7F5ED"/>
      </x:patternFill>
    </x:fill>
    <x:fill>
      <x:patternFill patternType="solid">
        <x:fgColor rgb="FFFFF4DD"/>
      </x:patternFill>
    </x:fill>
  </x:fills>
  <x:borders count="18">
    <x:border/>
    <x:border>
      <x:left style="thin">
        <x:color rgb="FFC9D8F4"/>
      </x:left>
      <x:right style="thin">
        <x:color rgb="FFC9D8F4"/>
      </x:right>
      <x:top style="thin">
        <x:color rgb="FFC9D8F4"/>
      </x:top>
      <x:bottom style="thin">
        <x:color rgb="FFC9D8F4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double">
        <x:color rgb="FF247A4B"/>
      </x:bottom>
    </x:border>
    <x:border>
      <x:right style="thin">
        <x:color rgb="FFE7ECF1"/>
      </x:right>
      <x:bottom style="thin">
        <x:color rgb="FFE7ECF1"/>
      </x:bottom>
    </x:border>
    <x:border>
      <x:left style="thin">
        <x:color rgb="FFE7ECF1"/>
      </x:left>
      <x:right style="thin">
        <x:color rgb="FFE7ECF1"/>
      </x:right>
      <x:bottom style="thin">
        <x:color rgb="FFE7ECF1"/>
      </x:bottom>
    </x:border>
    <x:border>
      <x:left style="thin">
        <x:color rgb="FFE7ECF1"/>
      </x:left>
      <x:bottom style="thin">
        <x:color rgb="FFE7ECF1"/>
      </x:bottom>
    </x:border>
    <x:border>
      <x:right style="thin">
        <x:color rgb="FFE7ECF1"/>
      </x:right>
      <x:top style="thin">
        <x:color rgb="FFE7ECF1"/>
      </x:top>
      <x:bottom style="thin">
        <x:color rgb="FFE7ECF1"/>
      </x:bottom>
    </x:border>
    <x:border>
      <x:left style="thin">
        <x:color rgb="FFE7ECF1"/>
      </x:left>
      <x:right style="thin">
        <x:color rgb="FFE7ECF1"/>
      </x:right>
      <x:top style="thin">
        <x:color rgb="FFE7ECF1"/>
      </x:top>
      <x:bottom style="thin">
        <x:color rgb="FFE7ECF1"/>
      </x:bottom>
    </x:border>
    <x:border>
      <x:left style="thin">
        <x:color rgb="FFE7ECF1"/>
      </x:left>
      <x:top style="thin">
        <x:color rgb="FFE7ECF1"/>
      </x:top>
      <x:bottom style="thin">
        <x:color rgb="FFE7ECF1"/>
      </x:bottom>
    </x:border>
    <x:border>
      <x:right style="thin">
        <x:color rgb="FFE7ECF1"/>
      </x:right>
      <x:top style="thin">
        <x:color rgb="FFE7ECF1"/>
      </x:top>
    </x:border>
    <x:border>
      <x:left style="thin">
        <x:color rgb="FFE7ECF1"/>
      </x:left>
      <x:right style="thin">
        <x:color rgb="FFE7ECF1"/>
      </x:right>
      <x:top style="thin">
        <x:color rgb="FFE7ECF1"/>
      </x:top>
    </x:border>
    <x:border>
      <x:left style="thin">
        <x:color rgb="FFE7ECF1"/>
      </x:left>
      <x:top style="thin">
        <x:color rgb="FFE7ECF1"/>
      </x:top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E8C58D"/>
      </x:left>
      <x:right style="thin">
        <x:color rgb="FFE8C58D"/>
      </x:right>
      <x:top style="thin">
        <x:color rgb="FFE8C58D"/>
      </x:top>
      <x:bottom style="thin">
        <x:color rgb="FFE8C58D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200" fontId="4" fillId="3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200" fontId="0" fillId="0" borderId="0" xfId="0" applyNumberFormat="1" applyFont="1" applyFill="1" applyBorder="1"/>
    <x:xf numFmtId="200" fontId="5" fillId="5" borderId="4" xfId="0" applyNumberFormat="1" applyFont="1" applyFill="1" applyBorder="1"/>
    <x:xf numFmtId="201" fontId="0" fillId="0" borderId="0" xfId="0" applyNumberFormat="1" applyFont="1" applyFill="1" applyBorder="1"/>
    <x:xf numFmtId="201" fontId="5" fillId="5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200" fontId="5" fillId="5" borderId="12" xfId="0" applyNumberFormat="1" applyFont="1" applyFill="1" applyBorder="1"/>
    <x:xf numFmtId="201" fontId="5" fillId="5" borderId="12" xfId="0" applyNumberFormat="1" applyFont="1" applyFill="1" applyBorder="1"/>
    <x:xf numFmtId="0" fontId="5" fillId="5" borderId="13" xfId="0" applyNumberFormat="1" applyFont="1" applyFill="1" applyBorder="1"/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202" fontId="4" fillId="3" borderId="0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202" fontId="4" fillId="3" borderId="15" xfId="0" applyNumberFormat="1" applyFont="1" applyFill="1" applyBorder="1"/>
    <x:xf numFmtId="0" fontId="4" fillId="3" borderId="16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7" xfId="0" applyNumberFormat="1" applyFont="1" applyFill="1" applyBorder="1"/>
    <x:xf numFmtId="200" fontId="6" fillId="6" borderId="17" xfId="0" applyNumberFormat="1" applyFont="1" applyFill="1" applyBorder="1"/>
    <x:xf numFmtId="203" fontId="0" fillId="0" borderId="0" xfId="0" applyNumberFormat="1" applyFont="1" applyFill="1" applyBorder="1"/>
    <x:xf numFmtId="203" fontId="5" fillId="5" borderId="4" xfId="0" applyNumberFormat="1" applyFont="1" applyFill="1" applyBorder="1"/>
    <x:xf numFmtId="203" fontId="0" fillId="0" borderId="7" xfId="0" applyNumberFormat="1" applyFont="1" applyFill="1" applyBorder="1"/>
    <x:xf numFmtId="203" fontId="0" fillId="0" borderId="10" xfId="0" applyNumberFormat="1" applyFont="1" applyFill="1" applyBorder="1"/>
    <x:xf numFmtId="203" fontId="5" fillId="5" borderId="13" xfId="0" applyNumberFormat="1" applyFont="1" applyFill="1" applyBorder="1"/>
  </x:cellXfs>
  <x:cellStyles count="1">
    <x:cellStyle name="Normal" xfId="0"/>
  </x:cellStyles>
  <x:dxfs count="8">
    <x:dxf>
      <x:font>
        <x:b/>
        <x:color rgb="FFB8640A"/>
      </x:font>
      <x:fill>
        <x:patternFill patternType="solid">
          <x:bgColor rgb="FFFFF4DD"/>
        </x:patternFill>
      </x:fill>
    </x:dxf>
    <x:dxf>
      <x:font>
        <x:b/>
        <x:color rgb="FFB8640A"/>
      </x:font>
      <x:fill>
        <x:patternFill patternType="solid">
          <x:bgColor rgb="FFFFF4DD"/>
        </x:patternFill>
      </x:fill>
    </x:dxf>
    <x:dxf>
      <x:font>
        <x:b/>
        <x:color rgb="FFB8640A"/>
      </x:font>
      <x:fill>
        <x:patternFill patternType="solid">
          <x:bgColor rgb="FFFFF4DD"/>
        </x:patternFill>
      </x:fill>
    </x:dxf>
    <x:dxf>
      <x:font>
        <x:b/>
        <x:color rgb="FFB8640A"/>
      </x:font>
      <x:fill>
        <x:patternFill patternType="solid">
          <x:bgColor rgb="FFFFF4DD"/>
        </x:patternFill>
      </x:fill>
    </x:dxf>
    <x:dxf>
      <x:font>
        <x:b/>
        <x:color rgb="FFB8640A"/>
      </x:font>
      <x:fill>
        <x:patternFill patternType="solid">
          <x:bgColor rgb="FFFFF4DD"/>
        </x:patternFill>
      </x:fill>
    </x:dxf>
    <x:dxf>
      <x:font>
        <x:b/>
        <x:color rgb="FFB8640A"/>
      </x:font>
      <x:fill>
        <x:patternFill patternType="solid">
          <x:bgColor rgb="FFFFF4DD"/>
        </x:patternFill>
      </x:fill>
    </x:dxf>
    <x:dxf>
      <x:font>
        <x:b/>
        <x:color rgb="FFB8640A"/>
      </x:font>
      <x:fill>
        <x:patternFill patternType="solid">
          <x:bgColor rgb="FFFFF4DD"/>
        </x:patternFill>
      </x:fill>
    </x:dxf>
    <x:dxf>
      <x:font>
        <x:b/>
        <x:color rgb="FFB8640A"/>
      </x:font>
      <x:fill>
        <x:patternFill patternType="solid">
          <x:bgColor rgb="FFFFF4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9eb9253c64c88" /><Relationship Type="http://schemas.openxmlformats.org/officeDocument/2006/relationships/theme" Target="/xl/theme/theme1.xml" Id="R48a43e839fe845db" /><Relationship Type="http://schemas.openxmlformats.org/officeDocument/2006/relationships/sharedStrings" Target="/xl/sharedStrings.xml" Id="R60869b708bf04110" /><Relationship Type="http://schemas.openxmlformats.org/officeDocument/2006/relationships/worksheet" Target="/xl/worksheets/sheet1.xml" Id="R548c7a10a8944c83" /><Relationship Type="http://schemas.openxmlformats.org/officeDocument/2006/relationships/worksheet" Target="/xl/worksheets/sheet2.xml" Id="Rad332816d36b4926" /><Relationship Type="http://schemas.openxmlformats.org/officeDocument/2006/relationships/worksheet" Target="/xl/worksheets/sheet3.xml" Id="Re069d6ad4a0e4dff" /><Relationship Type="http://schemas.openxmlformats.org/officeDocument/2006/relationships/worksheet" Target="/xl/worksheets/sheet4.xml" Id="R71afdfe1b3364b4d" /><Relationship Type="http://schemas.openxmlformats.org/officeDocument/2006/relationships/worksheet" Target="/xl/worksheets/sheet5.xml" Id="R15be08fd6a2043df" /><Relationship Type="http://schemas.openxmlformats.org/officeDocument/2006/relationships/worksheet" Target="/xl/worksheets/sheet6.xml" Id="R391958f8692c4379" /><Relationship Type="http://schemas.openxmlformats.org/officeDocument/2006/relationships/worksheet" Target="/xl/worksheets/sheet7.xml" Id="R6154a98c151e416b" /><Relationship Type="http://schemas.openxmlformats.org/officeDocument/2006/relationships/worksheet" Target="/xl/worksheets/sheet8.xml" Id="Rccb82a1aced642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13" hidden="0" customWidth="1"/>
    <x:col min="4" max="4" width="13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</x:cols>
  <x:sheetData>
    <x:row r="1" ht="30" customHeight="1">
      <x:c r="A1" s="3" t="str">
        <x:v>퍼시스 권역별 엑셀 일괄 자료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44" t="str">
        <x:v>시나리오</x:v>
      </x:c>
      <x:c r="B2" s="45" t="str">
        <x:v>권역별_API_검증</x:v>
      </x:c>
      <x:c r="C2" s="45" t="str">
        <x:v>내보낸 시각</x:v>
      </x:c>
      <x:c r="D2" s="46" t="n">
        <x:v>46221.111948125</x:v>
      </x:c>
      <x:c r="E2" s="45" t="str">
        <x:v>기준</x:v>
      </x:c>
      <x:c r="F2" s="47" t="str">
        <x:v>2025년</x:v>
      </x:c>
    </x:row>
    <x:row r="4">
      <x:c r="A4" s="50" t="str">
        <x:v>추가 인원 1명 기준 정상시공비</x:v>
      </x:c>
      <x:c r="B4" s="51" t="n">
        <x:v>50000000</x:v>
      </x:c>
    </x:row>
    <x:row r="6">
      <x:c r="A6" s="18" t="str">
        <x:v>현재 권역</x:v>
      </x:c>
      <x:c r="B6" s="18" t="str">
        <x:v>기존 지역수</x:v>
      </x:c>
      <x:c r="C6" s="18" t="str">
        <x:v>현재 지역수</x:v>
      </x:c>
      <x:c r="D6" s="18" t="str">
        <x:v>지역수 증감</x:v>
      </x:c>
      <x:c r="E6" s="18" t="str">
        <x:v>기존 시공결과금액</x:v>
      </x:c>
      <x:c r="F6" s="18" t="str">
        <x:v>현재 시공결과금액</x:v>
      </x:c>
      <x:c r="G6" s="18" t="str">
        <x:v>금액 증감</x:v>
      </x:c>
      <x:c r="H6" s="18" t="str">
        <x:v>기존 정상시공비</x:v>
      </x:c>
      <x:c r="I6" s="18" t="str">
        <x:v>현재 정상시공비</x:v>
      </x:c>
      <x:c r="J6" s="18" t="str">
        <x:v>정상시공비 증감</x:v>
      </x:c>
      <x:c r="K6" s="18" t="str">
        <x:v>추가 인원</x:v>
      </x:c>
    </x:row>
    <x:row r="7">
      <x:c r="A7" s="26" t="str">
        <x:v>김용훈</x:v>
      </x:c>
      <x:c r="B7" s="28" t="n">
        <x:v>6</x:v>
      </x:c>
      <x:c r="C7" s="28" t="n">
        <x:f>'01_김용훈'!B4</x:f>
        <x:v>5</x:v>
      </x:c>
      <x:c r="D7" s="28" t="n">
        <x:f>C7-B7</x:f>
        <x:v>-1</x:v>
      </x:c>
      <x:c r="E7" s="28" t="n">
        <x:v>10734568951</x:v>
      </x:c>
      <x:c r="F7" s="28" t="n">
        <x:f>'01_김용훈'!D4</x:f>
        <x:v>5039932723</x:v>
      </x:c>
      <x:c r="G7" s="28" t="n">
        <x:f>F7-E7</x:f>
        <x:v>-5694636228</x:v>
      </x:c>
      <x:c r="H7" s="28" t="n">
        <x:v>459085529</x:v>
      </x:c>
      <x:c r="I7" s="28" t="n">
        <x:f>'01_김용훈'!F4</x:f>
        <x:v>214432740</x:v>
      </x:c>
      <x:c r="J7" s="28" t="n">
        <x:f>I7-H7</x:f>
        <x:v>-244652789</x:v>
      </x:c>
      <x:c r="K7" s="54" t="n">
        <x:f>IF(J7&gt;0,ROUNDUP(J7/$B$4,0),0)</x:f>
        <x:v>0</x:v>
      </x:c>
    </x:row>
    <x:row r="8">
      <x:c r="A8" s="31" t="str">
        <x:v>김정훈</x:v>
      </x:c>
      <x:c r="B8" s="33" t="n">
        <x:v>16</x:v>
      </x:c>
      <x:c r="C8" s="33" t="n">
        <x:f>'02_김정훈'!B4</x:f>
        <x:v>17</x:v>
      </x:c>
      <x:c r="D8" s="33" t="n">
        <x:f>C8-B8</x:f>
        <x:v>1</x:v>
      </x:c>
      <x:c r="E8" s="33" t="n">
        <x:v>8864103651</x:v>
      </x:c>
      <x:c r="F8" s="33" t="n">
        <x:f>'02_김정훈'!D4</x:f>
        <x:v>14558739879</x:v>
      </x:c>
      <x:c r="G8" s="33" t="n">
        <x:f>F8-E8</x:f>
        <x:v>5694636228</x:v>
      </x:c>
      <x:c r="H8" s="33" t="n">
        <x:v>385994863</x:v>
      </x:c>
      <x:c r="I8" s="33" t="n">
        <x:f>'02_김정훈'!F4</x:f>
        <x:v>630647652</x:v>
      </x:c>
      <x:c r="J8" s="33" t="n">
        <x:f>I8-H8</x:f>
        <x:v>244652789</x:v>
      </x:c>
      <x:c r="K8" s="55" t="n">
        <x:f>IF(J8&gt;0,ROUNDUP(J8/$B$4,0),0)</x:f>
        <x:v>5</x:v>
      </x:c>
    </x:row>
    <x:row r="9">
      <x:c r="A9" s="31" t="str">
        <x:v>김현섭</x:v>
      </x:c>
      <x:c r="B9" s="33" t="n">
        <x:v>8</x:v>
      </x:c>
      <x:c r="C9" s="33" t="n">
        <x:f>'03_김현섭'!B4</x:f>
        <x:v>8</x:v>
      </x:c>
      <x:c r="D9" s="33" t="n">
        <x:f>C9-B9</x:f>
        <x:v>0</x:v>
      </x:c>
      <x:c r="E9" s="33" t="n">
        <x:v>4095806097</x:v>
      </x:c>
      <x:c r="F9" s="33" t="n">
        <x:f>'03_김현섭'!D4</x:f>
        <x:v>4095806097</x:v>
      </x:c>
      <x:c r="G9" s="33" t="n">
        <x:f>F9-E9</x:f>
        <x:v>0</x:v>
      </x:c>
      <x:c r="H9" s="33" t="n">
        <x:v>175583040</x:v>
      </x:c>
      <x:c r="I9" s="33" t="n">
        <x:f>'03_김현섭'!F4</x:f>
        <x:v>175583040</x:v>
      </x:c>
      <x:c r="J9" s="33" t="n">
        <x:f>I9-H9</x:f>
        <x:v>0</x:v>
      </x:c>
      <x:c r="K9" s="55" t="n">
        <x:f>IF(J9&gt;0,ROUNDUP(J9/$B$4,0),0)</x:f>
        <x:v>0</x:v>
      </x:c>
    </x:row>
    <x:row r="10">
      <x:c r="A10" s="31" t="str">
        <x:v>손대만</x:v>
      </x:c>
      <x:c r="B10" s="33" t="n">
        <x:v>7</x:v>
      </x:c>
      <x:c r="C10" s="33" t="n">
        <x:f>'04_손대만'!B4</x:f>
        <x:v>7</x:v>
      </x:c>
      <x:c r="D10" s="33" t="n">
        <x:f>C10-B10</x:f>
        <x:v>0</x:v>
      </x:c>
      <x:c r="E10" s="33" t="n">
        <x:v>5379685666</x:v>
      </x:c>
      <x:c r="F10" s="33" t="n">
        <x:f>'04_손대만'!D4</x:f>
        <x:v>5379685666</x:v>
      </x:c>
      <x:c r="G10" s="33" t="n">
        <x:f>F10-E10</x:f>
        <x:v>0</x:v>
      </x:c>
      <x:c r="H10" s="33" t="n">
        <x:v>229559920</x:v>
      </x:c>
      <x:c r="I10" s="33" t="n">
        <x:f>'04_손대만'!F4</x:f>
        <x:v>229559920</x:v>
      </x:c>
      <x:c r="J10" s="33" t="n">
        <x:f>I10-H10</x:f>
        <x:v>0</x:v>
      </x:c>
      <x:c r="K10" s="55" t="n">
        <x:f>IF(J10&gt;0,ROUNDUP(J10/$B$4,0),0)</x:f>
        <x:v>0</x:v>
      </x:c>
    </x:row>
    <x:row r="11">
      <x:c r="A11" s="31" t="str">
        <x:v>신승현</x:v>
      </x:c>
      <x:c r="B11" s="33" t="n">
        <x:v>40</x:v>
      </x:c>
      <x:c r="C11" s="33" t="n">
        <x:f>'05_신승현'!B4</x:f>
        <x:v>40</x:v>
      </x:c>
      <x:c r="D11" s="33" t="n">
        <x:f>C11-B11</x:f>
        <x:v>0</x:v>
      </x:c>
      <x:c r="E11" s="33" t="n">
        <x:v>11870464203</x:v>
      </x:c>
      <x:c r="F11" s="33" t="n">
        <x:f>'05_신승현'!D4</x:f>
        <x:v>11870464203</x:v>
      </x:c>
      <x:c r="G11" s="33" t="n">
        <x:f>F11-E11</x:f>
        <x:v>0</x:v>
      </x:c>
      <x:c r="H11" s="33" t="n">
        <x:v>516583551</x:v>
      </x:c>
      <x:c r="I11" s="33" t="n">
        <x:f>'05_신승현'!F4</x:f>
        <x:v>516583551</x:v>
      </x:c>
      <x:c r="J11" s="33" t="n">
        <x:f>I11-H11</x:f>
        <x:v>0</x:v>
      </x:c>
      <x:c r="K11" s="55" t="n">
        <x:f>IF(J11&gt;0,ROUNDUP(J11/$B$4,0),0)</x:f>
        <x:v>0</x:v>
      </x:c>
    </x:row>
    <x:row r="12">
      <x:c r="A12" s="31" t="str">
        <x:v>이정일</x:v>
      </x:c>
      <x:c r="B12" s="33" t="n">
        <x:v>4</x:v>
      </x:c>
      <x:c r="C12" s="33" t="n">
        <x:f>'06_이정일'!B4</x:f>
        <x:v>4</x:v>
      </x:c>
      <x:c r="D12" s="33" t="n">
        <x:f>C12-B12</x:f>
        <x:v>0</x:v>
      </x:c>
      <x:c r="E12" s="33" t="n">
        <x:v>3014936090</x:v>
      </x:c>
      <x:c r="F12" s="33" t="n">
        <x:f>'06_이정일'!D4</x:f>
        <x:v>3014936090</x:v>
      </x:c>
      <x:c r="G12" s="33" t="n">
        <x:f>F12-E12</x:f>
        <x:v>0</x:v>
      </x:c>
      <x:c r="H12" s="33" t="n">
        <x:v>131531160</x:v>
      </x:c>
      <x:c r="I12" s="33" t="n">
        <x:f>'06_이정일'!F4</x:f>
        <x:v>131531160</x:v>
      </x:c>
      <x:c r="J12" s="33" t="n">
        <x:f>I12-H12</x:f>
        <x:v>0</x:v>
      </x:c>
      <x:c r="K12" s="55" t="n">
        <x:f>IF(J12&gt;0,ROUNDUP(J12/$B$4,0),0)</x:f>
        <x:v>0</x:v>
      </x:c>
    </x:row>
    <x:row r="13">
      <x:c r="A13" s="31" t="str">
        <x:v>이현석</x:v>
      </x:c>
      <x:c r="B13" s="33" t="n">
        <x:v>18</x:v>
      </x:c>
      <x:c r="C13" s="33" t="n">
        <x:f>'07_이현석'!B4</x:f>
        <x:v>18</x:v>
      </x:c>
      <x:c r="D13" s="33" t="n">
        <x:f>C13-B13</x:f>
        <x:v>0</x:v>
      </x:c>
      <x:c r="E13" s="33" t="n">
        <x:v>6426529860</x:v>
      </x:c>
      <x:c r="F13" s="33" t="n">
        <x:f>'07_이현석'!D4</x:f>
        <x:v>6426529860</x:v>
      </x:c>
      <x:c r="G13" s="33" t="n">
        <x:f>F13-E13</x:f>
        <x:v>0</x:v>
      </x:c>
      <x:c r="H13" s="33" t="n">
        <x:v>269615570</x:v>
      </x:c>
      <x:c r="I13" s="33" t="n">
        <x:f>'07_이현석'!F4</x:f>
        <x:v>269615570</x:v>
      </x:c>
      <x:c r="J13" s="33" t="n">
        <x:f>I13-H13</x:f>
        <x:v>0</x:v>
      </x:c>
      <x:c r="K13" s="55" t="n">
        <x:f>IF(J13&gt;0,ROUNDUP(J13/$B$4,0),0)</x:f>
        <x:v>0</x:v>
      </x:c>
    </x:row>
    <x:row r="14">
      <x:c r="A14" s="36" t="str">
        <x:v>전체 합계</x:v>
      </x:c>
      <x:c r="B14" s="38" t="n">
        <x:f>SUM(B7:B13)</x:f>
        <x:v>99</x:v>
      </x:c>
      <x:c r="C14" s="38" t="n">
        <x:f>SUM(C7:C13)</x:f>
        <x:v>99</x:v>
      </x:c>
      <x:c r="D14" s="38" t="n">
        <x:f>C14-B14</x:f>
        <x:v>0</x:v>
      </x:c>
      <x:c r="E14" s="38" t="n">
        <x:f>SUM(E7:E13)</x:f>
        <x:v>50386094518</x:v>
      </x:c>
      <x:c r="F14" s="38" t="n">
        <x:f>SUM(F7:F13)</x:f>
        <x:v>50386094518</x:v>
      </x:c>
      <x:c r="G14" s="38" t="n">
        <x:f>F14-E14</x:f>
        <x:v>0</x:v>
      </x:c>
      <x:c r="H14" s="38" t="n">
        <x:f>SUM(H7:H13)</x:f>
        <x:v>2167953633</x:v>
      </x:c>
      <x:c r="I14" s="38" t="n">
        <x:f>SUM(I7:I13)</x:f>
        <x:v>2167953633</x:v>
      </x:c>
      <x:c r="J14" s="38" t="n">
        <x:f>I14-H14</x:f>
        <x:v>0</x:v>
      </x:c>
      <x:c r="K14" s="56" t="n">
        <x:f>SUM(K7:K13)</x:f>
        <x:v>5</x:v>
      </x:c>
    </x:row>
  </x:sheetData>
  <x:mergeCells>
    <x:mergeCell ref="A1:K1"/>
  </x:mergeCells>
  <x:conditionalFormatting sqref="J7:J13">
    <x:cfRule type="cellIs" dxfId="7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18" hidden="0" customWidth="1"/>
    <x:col min="8" max="8" width="15" hidden="0" customWidth="1"/>
    <x:col min="9" max="9" width="28" hidden="0" customWidth="1"/>
  </x:cols>
  <x:sheetData>
    <x:row r="1" ht="30" customHeight="1">
      <x:c r="A1" s="3" t="str">
        <x:v>김용훈 권역 지역별 현황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시나리오: 권역별_API_검증 · 기준: 2025년 · 현재 배정 지역 기준</x:v>
      </x:c>
      <x:c r="B2" s="5"/>
      <x:c r="C2" s="5"/>
      <x:c r="D2" s="5"/>
      <x:c r="E2" s="5"/>
      <x:c r="F2" s="5"/>
      <x:c r="G2" s="5"/>
      <x:c r="H2" s="5"/>
      <x:c r="I2" s="5"/>
    </x:row>
    <x:row r="4" ht="34" customHeight="1">
      <x:c r="A4" s="9" t="str">
        <x:v>현재 지역수</x:v>
      </x:c>
      <x:c r="B4" s="10" t="n">
        <x:f>COUNTA(B9:B13)</x:f>
        <x:v>5</x:v>
      </x:c>
      <x:c r="C4" s="9" t="str">
        <x:v>현재 시공결과금액</x:v>
      </x:c>
      <x:c r="D4" s="10" t="n">
        <x:f>SUM(F9:F13)</x:f>
        <x:v>5039932723</x:v>
      </x:c>
      <x:c r="E4" s="10" t="str">
        <x:v>현재 정상시공비</x:v>
      </x:c>
      <x:c r="F4" s="10" t="n">
        <x:f>SUM(G9:G13)</x:f>
        <x:v>214432740</x:v>
      </x:c>
      <x:c r="G4" s="9" t="str">
        <x:v>현재 정상시공비율</x:v>
      </x:c>
      <x:c r="H4" s="11" t="n">
        <x:f>IFERROR(F4/D4,0)</x:f>
        <x:v>0.04254674651140179</x:v>
      </x:c>
    </x:row>
    <x:row r="6" ht="34" customHeight="1">
      <x:c r="A6" s="14" t="str">
        <x:v>기존 지역수</x:v>
      </x:c>
      <x:c r="B6" s="15" t="n">
        <x:v>6</x:v>
      </x:c>
      <x:c r="C6" s="14" t="str">
        <x:v>기존 시공결과금액</x:v>
      </x:c>
      <x:c r="D6" s="15" t="n">
        <x:v>10734568951</x:v>
      </x:c>
      <x:c r="E6" s="15" t="str">
        <x:v>기존 정상시공비</x:v>
      </x:c>
      <x:c r="F6" s="15" t="n">
        <x:v>459085529</x:v>
      </x:c>
      <x:c r="G6" s="15" t="str">
        <x:v>정상시공비 증감</x:v>
      </x:c>
      <x:c r="H6" s="15" t="n">
        <x:f>F4-F6</x:f>
        <x:v>-244652789</x:v>
      </x:c>
    </x:row>
    <x:row r="8">
      <x:c r="A8" s="18" t="str">
        <x:v>시도</x:v>
      </x:c>
      <x:c r="B8" s="18" t="str">
        <x:v>시군구</x:v>
      </x:c>
      <x:c r="C8" s="18" t="str">
        <x:v>현재 권역</x:v>
      </x:c>
      <x:c r="D8" s="18" t="str">
        <x:v>기존 권역</x:v>
      </x:c>
      <x:c r="E8" s="18" t="str">
        <x:v>변경여부</x:v>
      </x:c>
      <x:c r="F8" s="18" t="str">
        <x:v>시공결과금액</x:v>
      </x:c>
      <x:c r="G8" s="18" t="str">
        <x:v>정상시공비</x:v>
      </x:c>
      <x:c r="H8" s="18" t="str">
        <x:v>정상시공비율</x:v>
      </x:c>
      <x:c r="I8" s="18" t="str">
        <x:v>데이터상태</x:v>
      </x:c>
    </x:row>
    <x:row r="9">
      <x:c r="A9" s="26" t="str">
        <x:v>경기도</x:v>
      </x:c>
      <x:c r="B9" s="27" t="str">
        <x:v>과천시</x:v>
      </x:c>
      <x:c r="C9" s="27" t="str">
        <x:v>김용훈</x:v>
      </x:c>
      <x:c r="D9" s="27" t="str">
        <x:v>김용훈</x:v>
      </x:c>
      <x:c r="E9" s="27" t="str">
        <x:v>유지</x:v>
      </x:c>
      <x:c r="F9" s="28" t="n">
        <x:v>477235960</x:v>
      </x:c>
      <x:c r="G9" s="28" t="n">
        <x:v>20500820</x:v>
      </x:c>
      <x:c r="H9" s="29" t="n">
        <x:f>IFERROR(G9/F9,0)</x:f>
        <x:v>0.04295740832270896</x:v>
      </x:c>
      <x:c r="I9" s="30" t="str">
        <x:v>연결 완료</x:v>
      </x:c>
    </x:row>
    <x:row r="10">
      <x:c r="A10" s="31" t="str">
        <x:v>경기도</x:v>
      </x:c>
      <x:c r="B10" s="32" t="str">
        <x:v>광명시</x:v>
      </x:c>
      <x:c r="C10" s="32" t="str">
        <x:v>김용훈</x:v>
      </x:c>
      <x:c r="D10" s="32" t="str">
        <x:v>김용훈</x:v>
      </x:c>
      <x:c r="E10" s="32" t="str">
        <x:v>유지</x:v>
      </x:c>
      <x:c r="F10" s="33" t="n">
        <x:v>167294840</x:v>
      </x:c>
      <x:c r="G10" s="33" t="n">
        <x:v>6929540</x:v>
      </x:c>
      <x:c r="H10" s="34" t="n">
        <x:f>IFERROR(G10/F10,0)</x:f>
        <x:v>0.0414211221338327</x:v>
      </x:c>
      <x:c r="I10" s="35" t="str">
        <x:v>연결 완료</x:v>
      </x:c>
    </x:row>
    <x:row r="11">
      <x:c r="A11" s="31" t="str">
        <x:v>서울특별시</x:v>
      </x:c>
      <x:c r="B11" s="32" t="str">
        <x:v>관악구</x:v>
      </x:c>
      <x:c r="C11" s="32" t="str">
        <x:v>김용훈</x:v>
      </x:c>
      <x:c r="D11" s="32" t="str">
        <x:v>김용훈</x:v>
      </x:c>
      <x:c r="E11" s="32" t="str">
        <x:v>유지</x:v>
      </x:c>
      <x:c r="F11" s="33" t="n">
        <x:v>907820633</x:v>
      </x:c>
      <x:c r="G11" s="33" t="n">
        <x:v>39011190</x:v>
      </x:c>
      <x:c r="H11" s="34" t="n">
        <x:f>IFERROR(G11/F11,0)</x:f>
        <x:v>0.04297235442984253</x:v>
      </x:c>
      <x:c r="I11" s="35" t="str">
        <x:v>연결 완료</x:v>
      </x:c>
    </x:row>
    <x:row r="12">
      <x:c r="A12" s="31" t="str">
        <x:v>서울특별시</x:v>
      </x:c>
      <x:c r="B12" s="32" t="str">
        <x:v>금천구</x:v>
      </x:c>
      <x:c r="C12" s="32" t="str">
        <x:v>김용훈</x:v>
      </x:c>
      <x:c r="D12" s="32" t="str">
        <x:v>김용훈</x:v>
      </x:c>
      <x:c r="E12" s="32" t="str">
        <x:v>유지</x:v>
      </x:c>
      <x:c r="F12" s="33" t="n">
        <x:v>722676520</x:v>
      </x:c>
      <x:c r="G12" s="33" t="n">
        <x:v>31195390</x:v>
      </x:c>
      <x:c r="H12" s="34" t="n">
        <x:f>IFERROR(G12/F12,0)</x:f>
        <x:v>0.04316646402182819</x:v>
      </x:c>
      <x:c r="I12" s="35" t="str">
        <x:v>연결 완료</x:v>
      </x:c>
    </x:row>
    <x:row r="13">
      <x:c r="A13" s="31" t="str">
        <x:v>서울특별시</x:v>
      </x:c>
      <x:c r="B13" s="32" t="str">
        <x:v>서초구</x:v>
      </x:c>
      <x:c r="C13" s="32" t="str">
        <x:v>김용훈</x:v>
      </x:c>
      <x:c r="D13" s="32" t="str">
        <x:v>김용훈</x:v>
      </x:c>
      <x:c r="E13" s="32" t="str">
        <x:v>유지</x:v>
      </x:c>
      <x:c r="F13" s="33" t="n">
        <x:v>2764904770</x:v>
      </x:c>
      <x:c r="G13" s="33" t="n">
        <x:v>116795800</x:v>
      </x:c>
      <x:c r="H13" s="34" t="n">
        <x:f>IFERROR(G13/F13,0)</x:f>
        <x:v>0.04224225053508805</x:v>
      </x:c>
      <x:c r="I13" s="35" t="str">
        <x:v>연결 완료</x:v>
      </x:c>
    </x:row>
    <x:row r="14">
      <x:c r="A14" s="36" t="str">
        <x:v>권역 합계</x:v>
      </x:c>
      <x:c r="B14" s="37"/>
      <x:c r="C14" s="37" t="str">
        <x:v>김용훈</x:v>
      </x:c>
      <x:c r="D14" s="37" t="str">
        <x:v>-</x:v>
      </x:c>
      <x:c r="E14" s="37" t="str">
        <x:v>합계</x:v>
      </x:c>
      <x:c r="F14" s="38" t="n">
        <x:f>SUM(F9:F13)</x:f>
        <x:v>5039932723</x:v>
      </x:c>
      <x:c r="G14" s="38" t="n">
        <x:f>SUM(G9:G13)</x:f>
        <x:v>214432740</x:v>
      </x:c>
      <x:c r="H14" s="39" t="n">
        <x:f>IFERROR(G14/F14,0)</x:f>
        <x:v>0.04254674651140179</x:v>
      </x:c>
      <x:c r="I14" s="40" t="str">
        <x:v>현재 배정 기준</x:v>
      </x:c>
    </x:row>
  </x:sheetData>
  <x:mergeCells>
    <x:mergeCell ref="A1:I1"/>
    <x:mergeCell ref="A2:I2"/>
  </x:mergeCells>
  <x:conditionalFormatting sqref="E9:E13">
    <x:cfRule type="containsText" dxfId="0" priority="1" operator="containsText" text="변경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18" hidden="0" customWidth="1"/>
    <x:col min="8" max="8" width="15" hidden="0" customWidth="1"/>
    <x:col min="9" max="9" width="28" hidden="0" customWidth="1"/>
  </x:cols>
  <x:sheetData>
    <x:row r="1" ht="30" customHeight="1">
      <x:c r="A1" s="3" t="str">
        <x:v>김정훈 권역 지역별 현황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시나리오: 권역별_API_검증 · 기준: 2025년 · 현재 배정 지역 기준</x:v>
      </x:c>
      <x:c r="B2" s="5"/>
      <x:c r="C2" s="5"/>
      <x:c r="D2" s="5"/>
      <x:c r="E2" s="5"/>
      <x:c r="F2" s="5"/>
      <x:c r="G2" s="5"/>
      <x:c r="H2" s="5"/>
      <x:c r="I2" s="5"/>
    </x:row>
    <x:row r="4" ht="34" customHeight="1">
      <x:c r="A4" s="9" t="str">
        <x:v>현재 지역수</x:v>
      </x:c>
      <x:c r="B4" s="10" t="n">
        <x:f>COUNTA(B9:B25)</x:f>
        <x:v>17</x:v>
      </x:c>
      <x:c r="C4" s="9" t="str">
        <x:v>현재 시공결과금액</x:v>
      </x:c>
      <x:c r="D4" s="10" t="n">
        <x:f>SUM(F9:F25)</x:f>
        <x:v>14558739879</x:v>
      </x:c>
      <x:c r="E4" s="10" t="str">
        <x:v>현재 정상시공비</x:v>
      </x:c>
      <x:c r="F4" s="10" t="n">
        <x:f>SUM(G9:G25)</x:f>
        <x:v>630647652</x:v>
      </x:c>
      <x:c r="G4" s="9" t="str">
        <x:v>현재 정상시공비율</x:v>
      </x:c>
      <x:c r="H4" s="11" t="n">
        <x:f>IFERROR(F4/D4,0)</x:f>
        <x:v>0.043317461349087406</x:v>
      </x:c>
    </x:row>
    <x:row r="6" ht="34" customHeight="1">
      <x:c r="A6" s="14" t="str">
        <x:v>기존 지역수</x:v>
      </x:c>
      <x:c r="B6" s="15" t="n">
        <x:v>16</x:v>
      </x:c>
      <x:c r="C6" s="14" t="str">
        <x:v>기존 시공결과금액</x:v>
      </x:c>
      <x:c r="D6" s="15" t="n">
        <x:v>8864103651</x:v>
      </x:c>
      <x:c r="E6" s="15" t="str">
        <x:v>기존 정상시공비</x:v>
      </x:c>
      <x:c r="F6" s="15" t="n">
        <x:v>385994863</x:v>
      </x:c>
      <x:c r="G6" s="15" t="str">
        <x:v>정상시공비 증감</x:v>
      </x:c>
      <x:c r="H6" s="15" t="n">
        <x:f>F4-F6</x:f>
        <x:v>244652789</x:v>
      </x:c>
    </x:row>
    <x:row r="8">
      <x:c r="A8" s="18" t="str">
        <x:v>시도</x:v>
      </x:c>
      <x:c r="B8" s="18" t="str">
        <x:v>시군구</x:v>
      </x:c>
      <x:c r="C8" s="18" t="str">
        <x:v>현재 권역</x:v>
      </x:c>
      <x:c r="D8" s="18" t="str">
        <x:v>기존 권역</x:v>
      </x:c>
      <x:c r="E8" s="18" t="str">
        <x:v>변경여부</x:v>
      </x:c>
      <x:c r="F8" s="18" t="str">
        <x:v>시공결과금액</x:v>
      </x:c>
      <x:c r="G8" s="18" t="str">
        <x:v>정상시공비</x:v>
      </x:c>
      <x:c r="H8" s="18" t="str">
        <x:v>정상시공비율</x:v>
      </x:c>
      <x:c r="I8" s="18" t="str">
        <x:v>데이터상태</x:v>
      </x:c>
    </x:row>
    <x:row r="9">
      <x:c r="A9" s="26" t="str">
        <x:v>강원특별자치도</x:v>
      </x:c>
      <x:c r="B9" s="27" t="str">
        <x:v>철원군</x:v>
      </x:c>
      <x:c r="C9" s="27" t="str">
        <x:v>김정훈</x:v>
      </x:c>
      <x:c r="D9" s="27" t="str">
        <x:v>김정훈</x:v>
      </x:c>
      <x:c r="E9" s="27" t="str">
        <x:v>유지</x:v>
      </x:c>
      <x:c r="F9" s="28" t="n">
        <x:v>398000</x:v>
      </x:c>
      <x:c r="G9" s="28" t="n">
        <x:v>20710</x:v>
      </x:c>
      <x:c r="H9" s="29" t="n">
        <x:f>IFERROR(G9/F9,0)</x:f>
        <x:v>0.05203517587939698</x:v>
      </x:c>
      <x:c r="I9" s="30" t="str">
        <x:v>연결 완료</x:v>
      </x:c>
    </x:row>
    <x:row r="10">
      <x:c r="A10" s="31" t="str">
        <x:v>경기도</x:v>
      </x:c>
      <x:c r="B10" s="32" t="str">
        <x:v>동두천시</x:v>
      </x:c>
      <x:c r="C10" s="32" t="str">
        <x:v>김정훈</x:v>
      </x:c>
      <x:c r="D10" s="32" t="str">
        <x:v>김정훈</x:v>
      </x:c>
      <x:c r="E10" s="32" t="str">
        <x:v>유지</x:v>
      </x:c>
      <x:c r="F10" s="33" t="n">
        <x:v>26701000</x:v>
      </x:c>
      <x:c r="G10" s="33" t="n">
        <x:v>1123590</x:v>
      </x:c>
      <x:c r="H10" s="34" t="n">
        <x:f>IFERROR(G10/F10,0)</x:f>
        <x:v>0.04208044642522752</x:v>
      </x:c>
      <x:c r="I10" s="35" t="str">
        <x:v>연결 완료</x:v>
      </x:c>
    </x:row>
    <x:row r="11">
      <x:c r="A11" s="31" t="str">
        <x:v>경기도</x:v>
      </x:c>
      <x:c r="B11" s="32" t="str">
        <x:v>양주시</x:v>
      </x:c>
      <x:c r="C11" s="32" t="str">
        <x:v>김정훈</x:v>
      </x:c>
      <x:c r="D11" s="32" t="str">
        <x:v>김정훈</x:v>
      </x:c>
      <x:c r="E11" s="32" t="str">
        <x:v>유지</x:v>
      </x:c>
      <x:c r="F11" s="33" t="n">
        <x:v>90628000</x:v>
      </x:c>
      <x:c r="G11" s="33" t="n">
        <x:v>4032120</x:v>
      </x:c>
      <x:c r="H11" s="34" t="n">
        <x:f>IFERROR(G11/F11,0)</x:f>
        <x:v>0.0444908858189522</x:v>
      </x:c>
      <x:c r="I11" s="35" t="str">
        <x:v>연결 완료</x:v>
      </x:c>
    </x:row>
    <x:row r="12">
      <x:c r="A12" s="31" t="str">
        <x:v>경기도</x:v>
      </x:c>
      <x:c r="B12" s="32" t="str">
        <x:v>연천군</x:v>
      </x:c>
      <x:c r="C12" s="32" t="str">
        <x:v>김정훈</x:v>
      </x:c>
      <x:c r="D12" s="32" t="str">
        <x:v>김정훈</x:v>
      </x:c>
      <x:c r="E12" s="32" t="str">
        <x:v>유지</x:v>
      </x:c>
      <x:c r="F12" s="33" t="n">
        <x:v>3384500</x:v>
      </x:c>
      <x:c r="G12" s="33" t="n">
        <x:v>208980</x:v>
      </x:c>
      <x:c r="H12" s="34" t="n">
        <x:f>IFERROR(G12/F12,0)</x:f>
        <x:v>0.06174619589304181</x:v>
      </x:c>
      <x:c r="I12" s="35" t="str">
        <x:v>연결 완료</x:v>
      </x:c>
    </x:row>
    <x:row r="13">
      <x:c r="A13" s="31" t="str">
        <x:v>경기도</x:v>
      </x:c>
      <x:c r="B13" s="32" t="str">
        <x:v>의정부시</x:v>
      </x:c>
      <x:c r="C13" s="32" t="str">
        <x:v>김정훈</x:v>
      </x:c>
      <x:c r="D13" s="32" t="str">
        <x:v>김정훈</x:v>
      </x:c>
      <x:c r="E13" s="32" t="str">
        <x:v>유지</x:v>
      </x:c>
      <x:c r="F13" s="33" t="n">
        <x:v>138735310</x:v>
      </x:c>
      <x:c r="G13" s="33" t="n">
        <x:v>6558410</x:v>
      </x:c>
      <x:c r="H13" s="34" t="n">
        <x:f>IFERROR(G13/F13,0)</x:f>
        <x:v>0.04727282477690791</x:v>
      </x:c>
      <x:c r="I13" s="35" t="str">
        <x:v>연결 완료</x:v>
      </x:c>
    </x:row>
    <x:row r="14">
      <x:c r="A14" s="31" t="str">
        <x:v>경기도</x:v>
      </x:c>
      <x:c r="B14" s="32" t="str">
        <x:v>포천시</x:v>
      </x:c>
      <x:c r="C14" s="32" t="str">
        <x:v>김정훈</x:v>
      </x:c>
      <x:c r="D14" s="32" t="str">
        <x:v>김정훈</x:v>
      </x:c>
      <x:c r="E14" s="32" t="str">
        <x:v>유지</x:v>
      </x:c>
      <x:c r="F14" s="33" t="n">
        <x:v>76570600</x:v>
      </x:c>
      <x:c r="G14" s="33" t="n">
        <x:v>3196010</x:v>
      </x:c>
      <x:c r="H14" s="34" t="n">
        <x:f>IFERROR(G14/F14,0)</x:f>
        <x:v>0.041739388224723326</x:v>
      </x:c>
      <x:c r="I14" s="35" t="str">
        <x:v>연결 완료</x:v>
      </x:c>
    </x:row>
    <x:row r="15">
      <x:c r="A15" s="31" t="str">
        <x:v>서울특별시</x:v>
      </x:c>
      <x:c r="B15" s="32" t="str">
        <x:v>강남구</x:v>
      </x:c>
      <x:c r="C15" s="32" t="str">
        <x:v>김정훈</x:v>
      </x:c>
      <x:c r="D15" s="32" t="str">
        <x:v>김용훈</x:v>
      </x:c>
      <x:c r="E15" s="32" t="str">
        <x:v>변경</x:v>
      </x:c>
      <x:c r="F15" s="33" t="n">
        <x:v>5694636228</x:v>
      </x:c>
      <x:c r="G15" s="33" t="n">
        <x:v>244652789</x:v>
      </x:c>
      <x:c r="H15" s="34" t="n">
        <x:f>IFERROR(G15/F15,0)</x:f>
        <x:v>0.04296196968597658</x:v>
      </x:c>
      <x:c r="I15" s="35" t="str">
        <x:v>연결 완료</x:v>
      </x:c>
    </x:row>
    <x:row r="16">
      <x:c r="A16" s="31" t="str">
        <x:v>서울특별시</x:v>
      </x:c>
      <x:c r="B16" s="32" t="str">
        <x:v>강북구</x:v>
      </x:c>
      <x:c r="C16" s="32" t="str">
        <x:v>김정훈</x:v>
      </x:c>
      <x:c r="D16" s="32" t="str">
        <x:v>김정훈</x:v>
      </x:c>
      <x:c r="E16" s="32" t="str">
        <x:v>유지</x:v>
      </x:c>
      <x:c r="F16" s="33" t="n">
        <x:v>65104700</x:v>
      </x:c>
      <x:c r="G16" s="33" t="n">
        <x:v>3149010</x:v>
      </x:c>
      <x:c r="H16" s="34" t="n">
        <x:f>IFERROR(G16/F16,0)</x:f>
        <x:v>0.04836839736608878</x:v>
      </x:c>
      <x:c r="I16" s="35" t="str">
        <x:v>연결 완료</x:v>
      </x:c>
    </x:row>
    <x:row r="17">
      <x:c r="A17" s="31" t="str">
        <x:v>서울특별시</x:v>
      </x:c>
      <x:c r="B17" s="32" t="str">
        <x:v>노원구</x:v>
      </x:c>
      <x:c r="C17" s="32" t="str">
        <x:v>김정훈</x:v>
      </x:c>
      <x:c r="D17" s="32" t="str">
        <x:v>김정훈</x:v>
      </x:c>
      <x:c r="E17" s="32" t="str">
        <x:v>유지</x:v>
      </x:c>
      <x:c r="F17" s="33" t="n">
        <x:v>206213230</x:v>
      </x:c>
      <x:c r="G17" s="33" t="n">
        <x:v>9326240</x:v>
      </x:c>
      <x:c r="H17" s="34" t="n">
        <x:f>IFERROR(G17/F17,0)</x:f>
        <x:v>0.04522619620477309</x:v>
      </x:c>
      <x:c r="I17" s="35" t="str">
        <x:v>연결 완료</x:v>
      </x:c>
    </x:row>
    <x:row r="18">
      <x:c r="A18" s="31" t="str">
        <x:v>서울특별시</x:v>
      </x:c>
      <x:c r="B18" s="32" t="str">
        <x:v>도봉구</x:v>
      </x:c>
      <x:c r="C18" s="32" t="str">
        <x:v>김정훈</x:v>
      </x:c>
      <x:c r="D18" s="32" t="str">
        <x:v>김정훈</x:v>
      </x:c>
      <x:c r="E18" s="32" t="str">
        <x:v>유지</x:v>
      </x:c>
      <x:c r="F18" s="33" t="n">
        <x:v>64057000</x:v>
      </x:c>
      <x:c r="G18" s="33" t="n">
        <x:v>3002400</x:v>
      </x:c>
      <x:c r="H18" s="34" t="n">
        <x:f>IFERROR(G18/F18,0)</x:f>
        <x:v>0.04687075573317514</x:v>
      </x:c>
      <x:c r="I18" s="35" t="str">
        <x:v>연결 완료</x:v>
      </x:c>
    </x:row>
    <x:row r="19">
      <x:c r="A19" s="31" t="str">
        <x:v>서울특별시</x:v>
      </x:c>
      <x:c r="B19" s="32" t="str">
        <x:v>동대문구</x:v>
      </x:c>
      <x:c r="C19" s="32" t="str">
        <x:v>김정훈</x:v>
      </x:c>
      <x:c r="D19" s="32" t="str">
        <x:v>김정훈</x:v>
      </x:c>
      <x:c r="E19" s="32" t="str">
        <x:v>유지</x:v>
      </x:c>
      <x:c r="F19" s="33" t="n">
        <x:v>460908200</x:v>
      </x:c>
      <x:c r="G19" s="33" t="n">
        <x:v>20306630</x:v>
      </x:c>
      <x:c r="H19" s="34" t="n">
        <x:f>IFERROR(G19/F19,0)</x:f>
        <x:v>0.0440578622814695</x:v>
      </x:c>
      <x:c r="I19" s="35" t="str">
        <x:v>연결 완료</x:v>
      </x:c>
    </x:row>
    <x:row r="20">
      <x:c r="A20" s="31" t="str">
        <x:v>서울특별시</x:v>
      </x:c>
      <x:c r="B20" s="32" t="str">
        <x:v>서대문구</x:v>
      </x:c>
      <x:c r="C20" s="32" t="str">
        <x:v>김정훈</x:v>
      </x:c>
      <x:c r="D20" s="32" t="str">
        <x:v>김정훈</x:v>
      </x:c>
      <x:c r="E20" s="32" t="str">
        <x:v>유지</x:v>
      </x:c>
      <x:c r="F20" s="33" t="n">
        <x:v>1094587890</x:v>
      </x:c>
      <x:c r="G20" s="33" t="n">
        <x:v>50079224</x:v>
      </x:c>
      <x:c r="H20" s="34" t="n">
        <x:f>IFERROR(G20/F20,0)</x:f>
        <x:v>0.04575167006461217</x:v>
      </x:c>
      <x:c r="I20" s="35" t="str">
        <x:v>연결 완료</x:v>
      </x:c>
    </x:row>
    <x:row r="21">
      <x:c r="A21" s="31" t="str">
        <x:v>서울특별시</x:v>
      </x:c>
      <x:c r="B21" s="32" t="str">
        <x:v>성북구</x:v>
      </x:c>
      <x:c r="C21" s="32" t="str">
        <x:v>김정훈</x:v>
      </x:c>
      <x:c r="D21" s="32" t="str">
        <x:v>김정훈</x:v>
      </x:c>
      <x:c r="E21" s="32" t="str">
        <x:v>유지</x:v>
      </x:c>
      <x:c r="F21" s="33" t="n">
        <x:v>745489300</x:v>
      </x:c>
      <x:c r="G21" s="33" t="n">
        <x:v>32886280</x:v>
      </x:c>
      <x:c r="H21" s="34" t="n">
        <x:f>IFERROR(G21/F21,0)</x:f>
        <x:v>0.0441136847973539</x:v>
      </x:c>
      <x:c r="I21" s="35" t="str">
        <x:v>연결 완료</x:v>
      </x:c>
    </x:row>
    <x:row r="22">
      <x:c r="A22" s="31" t="str">
        <x:v>서울특별시</x:v>
      </x:c>
      <x:c r="B22" s="32" t="str">
        <x:v>용산구</x:v>
      </x:c>
      <x:c r="C22" s="32" t="str">
        <x:v>김정훈</x:v>
      </x:c>
      <x:c r="D22" s="32" t="str">
        <x:v>김정훈</x:v>
      </x:c>
      <x:c r="E22" s="32" t="str">
        <x:v>유지</x:v>
      </x:c>
      <x:c r="F22" s="33" t="n">
        <x:v>748693590</x:v>
      </x:c>
      <x:c r="G22" s="33" t="n">
        <x:v>33802980</x:v>
      </x:c>
      <x:c r="H22" s="34" t="n">
        <x:f>IFERROR(G22/F22,0)</x:f>
        <x:v>0.04514928463592162</x:v>
      </x:c>
      <x:c r="I22" s="35" t="str">
        <x:v>연결 완료</x:v>
      </x:c>
    </x:row>
    <x:row r="23">
      <x:c r="A23" s="31" t="str">
        <x:v>서울특별시</x:v>
      </x:c>
      <x:c r="B23" s="32" t="str">
        <x:v>은평구</x:v>
      </x:c>
      <x:c r="C23" s="32" t="str">
        <x:v>김정훈</x:v>
      </x:c>
      <x:c r="D23" s="32" t="str">
        <x:v>김정훈</x:v>
      </x:c>
      <x:c r="E23" s="32" t="str">
        <x:v>유지</x:v>
      </x:c>
      <x:c r="F23" s="33" t="n">
        <x:v>136969800</x:v>
      </x:c>
      <x:c r="G23" s="33" t="n">
        <x:v>6069060</x:v>
      </x:c>
      <x:c r="H23" s="34" t="n">
        <x:f>IFERROR(G23/F23,0)</x:f>
        <x:v>0.04430947551942107</x:v>
      </x:c>
      <x:c r="I23" s="35" t="str">
        <x:v>연결 완료</x:v>
      </x:c>
    </x:row>
    <x:row r="24">
      <x:c r="A24" s="31" t="str">
        <x:v>서울특별시</x:v>
      </x:c>
      <x:c r="B24" s="32" t="str">
        <x:v>종로구</x:v>
      </x:c>
      <x:c r="C24" s="32" t="str">
        <x:v>김정훈</x:v>
      </x:c>
      <x:c r="D24" s="32" t="str">
        <x:v>김정훈</x:v>
      </x:c>
      <x:c r="E24" s="32" t="str">
        <x:v>유지</x:v>
      </x:c>
      <x:c r="F24" s="33" t="n">
        <x:v>2080224940</x:v>
      </x:c>
      <x:c r="G24" s="33" t="n">
        <x:v>86967880</x:v>
      </x:c>
      <x:c r="H24" s="34" t="n">
        <x:f>IFERROR(G24/F24,0)</x:f>
        <x:v>0.04180695958774535</x:v>
      </x:c>
      <x:c r="I24" s="35" t="str">
        <x:v>연결 완료</x:v>
      </x:c>
    </x:row>
    <x:row r="25">
      <x:c r="A25" s="31" t="str">
        <x:v>서울특별시</x:v>
      </x:c>
      <x:c r="B25" s="32" t="str">
        <x:v>중구</x:v>
      </x:c>
      <x:c r="C25" s="32" t="str">
        <x:v>김정훈</x:v>
      </x:c>
      <x:c r="D25" s="32" t="str">
        <x:v>김정훈</x:v>
      </x:c>
      <x:c r="E25" s="32" t="str">
        <x:v>유지</x:v>
      </x:c>
      <x:c r="F25" s="33" t="n">
        <x:v>2925437591</x:v>
      </x:c>
      <x:c r="G25" s="33" t="n">
        <x:v>125265339</x:v>
      </x:c>
      <x:c r="H25" s="34" t="n">
        <x:f>IFERROR(G25/F25,0)</x:f>
        <x:v>0.04281935098713921</x:v>
      </x:c>
      <x:c r="I25" s="35" t="str">
        <x:v>중구 원본 9:1 분배 (서울 90%)</x:v>
      </x:c>
    </x:row>
    <x:row r="26">
      <x:c r="A26" s="36" t="str">
        <x:v>권역 합계</x:v>
      </x:c>
      <x:c r="B26" s="37"/>
      <x:c r="C26" s="37" t="str">
        <x:v>김정훈</x:v>
      </x:c>
      <x:c r="D26" s="37" t="str">
        <x:v>-</x:v>
      </x:c>
      <x:c r="E26" s="37" t="str">
        <x:v>합계</x:v>
      </x:c>
      <x:c r="F26" s="38" t="n">
        <x:f>SUM(F9:F25)</x:f>
        <x:v>14558739879</x:v>
      </x:c>
      <x:c r="G26" s="38" t="n">
        <x:f>SUM(G9:G25)</x:f>
        <x:v>630647652</x:v>
      </x:c>
      <x:c r="H26" s="39" t="n">
        <x:f>IFERROR(G26/F26,0)</x:f>
        <x:v>0.043317461349087406</x:v>
      </x:c>
      <x:c r="I26" s="40" t="str">
        <x:v>현재 배정 기준</x:v>
      </x:c>
    </x:row>
  </x:sheetData>
  <x:mergeCells>
    <x:mergeCell ref="A1:I1"/>
    <x:mergeCell ref="A2:I2"/>
  </x:mergeCells>
  <x:conditionalFormatting sqref="E9:E25">
    <x:cfRule type="containsText" dxfId="1" priority="1" operator="containsText" text="변경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18" hidden="0" customWidth="1"/>
    <x:col min="8" max="8" width="15" hidden="0" customWidth="1"/>
    <x:col min="9" max="9" width="28" hidden="0" customWidth="1"/>
  </x:cols>
  <x:sheetData>
    <x:row r="1" ht="30" customHeight="1">
      <x:c r="A1" s="3" t="str">
        <x:v>김현섭 권역 지역별 현황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시나리오: 권역별_API_검증 · 기준: 2025년 · 현재 배정 지역 기준</x:v>
      </x:c>
      <x:c r="B2" s="5"/>
      <x:c r="C2" s="5"/>
      <x:c r="D2" s="5"/>
      <x:c r="E2" s="5"/>
      <x:c r="F2" s="5"/>
      <x:c r="G2" s="5"/>
      <x:c r="H2" s="5"/>
      <x:c r="I2" s="5"/>
    </x:row>
    <x:row r="4" ht="34" customHeight="1">
      <x:c r="A4" s="9" t="str">
        <x:v>현재 지역수</x:v>
      </x:c>
      <x:c r="B4" s="10" t="n">
        <x:f>COUNTA(B9:B16)</x:f>
        <x:v>8</x:v>
      </x:c>
      <x:c r="C4" s="9" t="str">
        <x:v>현재 시공결과금액</x:v>
      </x:c>
      <x:c r="D4" s="10" t="n">
        <x:f>SUM(F9:F16)</x:f>
        <x:v>4095806097</x:v>
      </x:c>
      <x:c r="E4" s="10" t="str">
        <x:v>현재 정상시공비</x:v>
      </x:c>
      <x:c r="F4" s="10" t="n">
        <x:f>SUM(G9:G16)</x:f>
        <x:v>175583040</x:v>
      </x:c>
      <x:c r="G4" s="9" t="str">
        <x:v>현재 정상시공비율</x:v>
      </x:c>
      <x:c r="H4" s="11" t="n">
        <x:f>IFERROR(F4/D4,0)</x:f>
        <x:v>0.04286898252546842</x:v>
      </x:c>
    </x:row>
    <x:row r="6" ht="34" customHeight="1">
      <x:c r="A6" s="14" t="str">
        <x:v>기존 지역수</x:v>
      </x:c>
      <x:c r="B6" s="15" t="n">
        <x:v>8</x:v>
      </x:c>
      <x:c r="C6" s="14" t="str">
        <x:v>기존 시공결과금액</x:v>
      </x:c>
      <x:c r="D6" s="15" t="n">
        <x:v>4095806097</x:v>
      </x:c>
      <x:c r="E6" s="15" t="str">
        <x:v>기존 정상시공비</x:v>
      </x:c>
      <x:c r="F6" s="15" t="n">
        <x:v>175583040</x:v>
      </x:c>
      <x:c r="G6" s="15" t="str">
        <x:v>정상시공비 증감</x:v>
      </x:c>
      <x:c r="H6" s="15" t="n">
        <x:f>F4-F6</x:f>
        <x:v>0</x:v>
      </x:c>
    </x:row>
    <x:row r="8">
      <x:c r="A8" s="18" t="str">
        <x:v>시도</x:v>
      </x:c>
      <x:c r="B8" s="18" t="str">
        <x:v>시군구</x:v>
      </x:c>
      <x:c r="C8" s="18" t="str">
        <x:v>현재 권역</x:v>
      </x:c>
      <x:c r="D8" s="18" t="str">
        <x:v>기존 권역</x:v>
      </x:c>
      <x:c r="E8" s="18" t="str">
        <x:v>변경여부</x:v>
      </x:c>
      <x:c r="F8" s="18" t="str">
        <x:v>시공결과금액</x:v>
      </x:c>
      <x:c r="G8" s="18" t="str">
        <x:v>정상시공비</x:v>
      </x:c>
      <x:c r="H8" s="18" t="str">
        <x:v>정상시공비율</x:v>
      </x:c>
      <x:c r="I8" s="18" t="str">
        <x:v>데이터상태</x:v>
      </x:c>
    </x:row>
    <x:row r="9">
      <x:c r="A9" s="26" t="str">
        <x:v>경기도</x:v>
      </x:c>
      <x:c r="B9" s="27" t="str">
        <x:v>구리시</x:v>
      </x:c>
      <x:c r="C9" s="27" t="str">
        <x:v>김현섭</x:v>
      </x:c>
      <x:c r="D9" s="27" t="str">
        <x:v>김현섭</x:v>
      </x:c>
      <x:c r="E9" s="27" t="str">
        <x:v>유지</x:v>
      </x:c>
      <x:c r="F9" s="28" t="n">
        <x:v>146553500</x:v>
      </x:c>
      <x:c r="G9" s="28" t="n">
        <x:v>6399720</x:v>
      </x:c>
      <x:c r="H9" s="29" t="n">
        <x:f>IFERROR(G9/F9,0)</x:f>
        <x:v>0.043668148491847684</x:v>
      </x:c>
      <x:c r="I9" s="30" t="str">
        <x:v>연결 완료</x:v>
      </x:c>
    </x:row>
    <x:row r="10">
      <x:c r="A10" s="31" t="str">
        <x:v>경기도</x:v>
      </x:c>
      <x:c r="B10" s="32" t="str">
        <x:v>남양주시</x:v>
      </x:c>
      <x:c r="C10" s="32" t="str">
        <x:v>김현섭</x:v>
      </x:c>
      <x:c r="D10" s="32" t="str">
        <x:v>김현섭</x:v>
      </x:c>
      <x:c r="E10" s="32" t="str">
        <x:v>유지</x:v>
      </x:c>
      <x:c r="F10" s="33" t="n">
        <x:v>309695200</x:v>
      </x:c>
      <x:c r="G10" s="33" t="n">
        <x:v>13567820</x:v>
      </x:c>
      <x:c r="H10" s="34" t="n">
        <x:f>IFERROR(G10/F10,0)</x:f>
        <x:v>0.043810236645579266</x:v>
      </x:c>
      <x:c r="I10" s="35" t="str">
        <x:v>연결 완료</x:v>
      </x:c>
    </x:row>
    <x:row r="11">
      <x:c r="A11" s="31" t="str">
        <x:v>경기도</x:v>
      </x:c>
      <x:c r="B11" s="32" t="str">
        <x:v>하남시</x:v>
      </x:c>
      <x:c r="C11" s="32" t="str">
        <x:v>김현섭</x:v>
      </x:c>
      <x:c r="D11" s="32" t="str">
        <x:v>김현섭</x:v>
      </x:c>
      <x:c r="E11" s="32" t="str">
        <x:v>유지</x:v>
      </x:c>
      <x:c r="F11" s="33" t="n">
        <x:v>239711960</x:v>
      </x:c>
      <x:c r="G11" s="33" t="n">
        <x:v>10727420</x:v>
      </x:c>
      <x:c r="H11" s="34" t="n">
        <x:f>IFERROR(G11/F11,0)</x:f>
        <x:v>0.04475129234269329</x:v>
      </x:c>
      <x:c r="I11" s="35" t="str">
        <x:v>연결 완료</x:v>
      </x:c>
    </x:row>
    <x:row r="12">
      <x:c r="A12" s="31" t="str">
        <x:v>서울특별시</x:v>
      </x:c>
      <x:c r="B12" s="32" t="str">
        <x:v>강동구</x:v>
      </x:c>
      <x:c r="C12" s="32" t="str">
        <x:v>김현섭</x:v>
      </x:c>
      <x:c r="D12" s="32" t="str">
        <x:v>김현섭</x:v>
      </x:c>
      <x:c r="E12" s="32" t="str">
        <x:v>유지</x:v>
      </x:c>
      <x:c r="F12" s="33" t="n">
        <x:v>457999946</x:v>
      </x:c>
      <x:c r="G12" s="33" t="n">
        <x:v>18863420</x:v>
      </x:c>
      <x:c r="H12" s="34" t="n">
        <x:f>IFERROR(G12/F12,0)</x:f>
        <x:v>0.0411865114062699</x:v>
      </x:c>
      <x:c r="I12" s="35" t="str">
        <x:v>연결 완료</x:v>
      </x:c>
    </x:row>
    <x:row r="13">
      <x:c r="A13" s="31" t="str">
        <x:v>서울특별시</x:v>
      </x:c>
      <x:c r="B13" s="32" t="str">
        <x:v>광진구</x:v>
      </x:c>
      <x:c r="C13" s="32" t="str">
        <x:v>김현섭</x:v>
      </x:c>
      <x:c r="D13" s="32" t="str">
        <x:v>김현섭</x:v>
      </x:c>
      <x:c r="E13" s="32" t="str">
        <x:v>유지</x:v>
      </x:c>
      <x:c r="F13" s="33" t="n">
        <x:v>305843560</x:v>
      </x:c>
      <x:c r="G13" s="33" t="n">
        <x:v>13089500</x:v>
      </x:c>
      <x:c r="H13" s="34" t="n">
        <x:f>IFERROR(G13/F13,0)</x:f>
        <x:v>0.0427980239309273</x:v>
      </x:c>
      <x:c r="I13" s="35" t="str">
        <x:v>연결 완료</x:v>
      </x:c>
    </x:row>
    <x:row r="14">
      <x:c r="A14" s="31" t="str">
        <x:v>서울특별시</x:v>
      </x:c>
      <x:c r="B14" s="32" t="str">
        <x:v>성동구</x:v>
      </x:c>
      <x:c r="C14" s="32" t="str">
        <x:v>김현섭</x:v>
      </x:c>
      <x:c r="D14" s="32" t="str">
        <x:v>김현섭</x:v>
      </x:c>
      <x:c r="E14" s="32" t="str">
        <x:v>유지</x:v>
      </x:c>
      <x:c r="F14" s="33" t="n">
        <x:v>836100310</x:v>
      </x:c>
      <x:c r="G14" s="33" t="n">
        <x:v>35947050</x:v>
      </x:c>
      <x:c r="H14" s="34" t="n">
        <x:f>IFERROR(G14/F14,0)</x:f>
        <x:v>0.04299370490605368</x:v>
      </x:c>
      <x:c r="I14" s="35" t="str">
        <x:v>연결 완료</x:v>
      </x:c>
    </x:row>
    <x:row r="15">
      <x:c r="A15" s="31" t="str">
        <x:v>서울특별시</x:v>
      </x:c>
      <x:c r="B15" s="32" t="str">
        <x:v>송파구</x:v>
      </x:c>
      <x:c r="C15" s="32" t="str">
        <x:v>김현섭</x:v>
      </x:c>
      <x:c r="D15" s="32" t="str">
        <x:v>김현섭</x:v>
      </x:c>
      <x:c r="E15" s="32" t="str">
        <x:v>유지</x:v>
      </x:c>
      <x:c r="F15" s="33" t="n">
        <x:v>1700965821</x:v>
      </x:c>
      <x:c r="G15" s="33" t="n">
        <x:v>72482190</x:v>
      </x:c>
      <x:c r="H15" s="34" t="n">
        <x:f>IFERROR(G15/F15,0)</x:f>
        <x:v>0.04261237298547694</x:v>
      </x:c>
      <x:c r="I15" s="35" t="str">
        <x:v>연결 완료</x:v>
      </x:c>
    </x:row>
    <x:row r="16">
      <x:c r="A16" s="31" t="str">
        <x:v>서울특별시</x:v>
      </x:c>
      <x:c r="B16" s="32" t="str">
        <x:v>중랑구</x:v>
      </x:c>
      <x:c r="C16" s="32" t="str">
        <x:v>김현섭</x:v>
      </x:c>
      <x:c r="D16" s="32" t="str">
        <x:v>김현섭</x:v>
      </x:c>
      <x:c r="E16" s="32" t="str">
        <x:v>유지</x:v>
      </x:c>
      <x:c r="F16" s="33" t="n">
        <x:v>98935800</x:v>
      </x:c>
      <x:c r="G16" s="33" t="n">
        <x:v>4505920</x:v>
      </x:c>
      <x:c r="H16" s="34" t="n">
        <x:f>IFERROR(G16/F16,0)</x:f>
        <x:v>0.04554387794913469</x:v>
      </x:c>
      <x:c r="I16" s="35" t="str">
        <x:v>연결 완료</x:v>
      </x:c>
    </x:row>
    <x:row r="17">
      <x:c r="A17" s="36" t="str">
        <x:v>권역 합계</x:v>
      </x:c>
      <x:c r="B17" s="37"/>
      <x:c r="C17" s="37" t="str">
        <x:v>김현섭</x:v>
      </x:c>
      <x:c r="D17" s="37" t="str">
        <x:v>-</x:v>
      </x:c>
      <x:c r="E17" s="37" t="str">
        <x:v>합계</x:v>
      </x:c>
      <x:c r="F17" s="38" t="n">
        <x:f>SUM(F9:F16)</x:f>
        <x:v>4095806097</x:v>
      </x:c>
      <x:c r="G17" s="38" t="n">
        <x:f>SUM(G9:G16)</x:f>
        <x:v>175583040</x:v>
      </x:c>
      <x:c r="H17" s="39" t="n">
        <x:f>IFERROR(G17/F17,0)</x:f>
        <x:v>0.04286898252546842</x:v>
      </x:c>
      <x:c r="I17" s="40" t="str">
        <x:v>현재 배정 기준</x:v>
      </x:c>
    </x:row>
  </x:sheetData>
  <x:mergeCells>
    <x:mergeCell ref="A1:I1"/>
    <x:mergeCell ref="A2:I2"/>
  </x:mergeCells>
  <x:conditionalFormatting sqref="E9:E16">
    <x:cfRule type="containsText" dxfId="2" priority="1" operator="containsText" text="변경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18" hidden="0" customWidth="1"/>
    <x:col min="8" max="8" width="15" hidden="0" customWidth="1"/>
    <x:col min="9" max="9" width="28" hidden="0" customWidth="1"/>
  </x:cols>
  <x:sheetData>
    <x:row r="1" ht="30" customHeight="1">
      <x:c r="A1" s="3" t="str">
        <x:v>손대만 권역 지역별 현황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시나리오: 권역별_API_검증 · 기준: 2025년 · 현재 배정 지역 기준</x:v>
      </x:c>
      <x:c r="B2" s="5"/>
      <x:c r="C2" s="5"/>
      <x:c r="D2" s="5"/>
      <x:c r="E2" s="5"/>
      <x:c r="F2" s="5"/>
      <x:c r="G2" s="5"/>
      <x:c r="H2" s="5"/>
      <x:c r="I2" s="5"/>
    </x:row>
    <x:row r="4" ht="34" customHeight="1">
      <x:c r="A4" s="9" t="str">
        <x:v>현재 지역수</x:v>
      </x:c>
      <x:c r="B4" s="10" t="n">
        <x:f>COUNTA(B9:B15)</x:f>
        <x:v>7</x:v>
      </x:c>
      <x:c r="C4" s="9" t="str">
        <x:v>현재 시공결과금액</x:v>
      </x:c>
      <x:c r="D4" s="10" t="n">
        <x:f>SUM(F9:F15)</x:f>
        <x:v>5379685666</x:v>
      </x:c>
      <x:c r="E4" s="10" t="str">
        <x:v>현재 정상시공비</x:v>
      </x:c>
      <x:c r="F4" s="10" t="n">
        <x:f>SUM(G9:G15)</x:f>
        <x:v>229559920</x:v>
      </x:c>
      <x:c r="G4" s="9" t="str">
        <x:v>현재 정상시공비율</x:v>
      </x:c>
      <x:c r="H4" s="11" t="n">
        <x:f>IFERROR(F4/D4,0)</x:f>
        <x:v>0.04267162326059963</x:v>
      </x:c>
    </x:row>
    <x:row r="6" ht="34" customHeight="1">
      <x:c r="A6" s="14" t="str">
        <x:v>기존 지역수</x:v>
      </x:c>
      <x:c r="B6" s="15" t="n">
        <x:v>7</x:v>
      </x:c>
      <x:c r="C6" s="14" t="str">
        <x:v>기존 시공결과금액</x:v>
      </x:c>
      <x:c r="D6" s="15" t="n">
        <x:v>5379685666</x:v>
      </x:c>
      <x:c r="E6" s="15" t="str">
        <x:v>기존 정상시공비</x:v>
      </x:c>
      <x:c r="F6" s="15" t="n">
        <x:v>229559920</x:v>
      </x:c>
      <x:c r="G6" s="15" t="str">
        <x:v>정상시공비 증감</x:v>
      </x:c>
      <x:c r="H6" s="15" t="n">
        <x:f>F4-F6</x:f>
        <x:v>0</x:v>
      </x:c>
    </x:row>
    <x:row r="8">
      <x:c r="A8" s="18" t="str">
        <x:v>시도</x:v>
      </x:c>
      <x:c r="B8" s="18" t="str">
        <x:v>시군구</x:v>
      </x:c>
      <x:c r="C8" s="18" t="str">
        <x:v>현재 권역</x:v>
      </x:c>
      <x:c r="D8" s="18" t="str">
        <x:v>기존 권역</x:v>
      </x:c>
      <x:c r="E8" s="18" t="str">
        <x:v>변경여부</x:v>
      </x:c>
      <x:c r="F8" s="18" t="str">
        <x:v>시공결과금액</x:v>
      </x:c>
      <x:c r="G8" s="18" t="str">
        <x:v>정상시공비</x:v>
      </x:c>
      <x:c r="H8" s="18" t="str">
        <x:v>정상시공비율</x:v>
      </x:c>
      <x:c r="I8" s="18" t="str">
        <x:v>데이터상태</x:v>
      </x:c>
    </x:row>
    <x:row r="9">
      <x:c r="A9" s="26" t="str">
        <x:v>경기도</x:v>
      </x:c>
      <x:c r="B9" s="27" t="str">
        <x:v>고양시 덕양구</x:v>
      </x:c>
      <x:c r="C9" s="27" t="str">
        <x:v>손대만</x:v>
      </x:c>
      <x:c r="D9" s="27" t="str">
        <x:v>손대만</x:v>
      </x:c>
      <x:c r="E9" s="27" t="str">
        <x:v>유지</x:v>
      </x:c>
      <x:c r="F9" s="28" t="n">
        <x:v>246693632</x:v>
      </x:c>
      <x:c r="G9" s="28" t="n">
        <x:v>10918720</x:v>
      </x:c>
      <x:c r="H9" s="29" t="n">
        <x:f>IFERROR(G9/F9,0)</x:f>
        <x:v>0.04426024259920905</x:v>
      </x:c>
      <x:c r="I9" s="30" t="str">
        <x:v>연결 완료</x:v>
      </x:c>
    </x:row>
    <x:row r="10">
      <x:c r="A10" s="31" t="str">
        <x:v>경기도</x:v>
      </x:c>
      <x:c r="B10" s="32" t="str">
        <x:v>고양시 일산동구</x:v>
      </x:c>
      <x:c r="C10" s="32" t="str">
        <x:v>손대만</x:v>
      </x:c>
      <x:c r="D10" s="32" t="str">
        <x:v>손대만</x:v>
      </x:c>
      <x:c r="E10" s="32" t="str">
        <x:v>유지</x:v>
      </x:c>
      <x:c r="F10" s="33" t="n">
        <x:v>161866610</x:v>
      </x:c>
      <x:c r="G10" s="33" t="n">
        <x:v>6448040</x:v>
      </x:c>
      <x:c r="H10" s="34" t="n">
        <x:f>IFERROR(G10/F10,0)</x:f>
        <x:v>0.039835516416881774</x:v>
      </x:c>
      <x:c r="I10" s="35" t="str">
        <x:v>연결 완료</x:v>
      </x:c>
    </x:row>
    <x:row r="11">
      <x:c r="A11" s="31" t="str">
        <x:v>경기도</x:v>
      </x:c>
      <x:c r="B11" s="32" t="str">
        <x:v>고양시 일산서구</x:v>
      </x:c>
      <x:c r="C11" s="32" t="str">
        <x:v>손대만</x:v>
      </x:c>
      <x:c r="D11" s="32" t="str">
        <x:v>손대만</x:v>
      </x:c>
      <x:c r="E11" s="32" t="str">
        <x:v>유지</x:v>
      </x:c>
      <x:c r="F11" s="33" t="n">
        <x:v>122891000</x:v>
      </x:c>
      <x:c r="G11" s="33" t="n">
        <x:v>4990410</x:v>
      </x:c>
      <x:c r="H11" s="34" t="n">
        <x:f>IFERROR(G11/F11,0)</x:f>
        <x:v>0.040608425352548196</x:v>
      </x:c>
      <x:c r="I11" s="35" t="str">
        <x:v>연결 완료</x:v>
      </x:c>
    </x:row>
    <x:row r="12">
      <x:c r="A12" s="31" t="str">
        <x:v>경기도</x:v>
      </x:c>
      <x:c r="B12" s="32" t="str">
        <x:v>파주시</x:v>
      </x:c>
      <x:c r="C12" s="32" t="str">
        <x:v>손대만</x:v>
      </x:c>
      <x:c r="D12" s="32" t="str">
        <x:v>손대만</x:v>
      </x:c>
      <x:c r="E12" s="32" t="str">
        <x:v>유지</x:v>
      </x:c>
      <x:c r="F12" s="33" t="n">
        <x:v>301235420</x:v>
      </x:c>
      <x:c r="G12" s="33" t="n">
        <x:v>12346100</x:v>
      </x:c>
      <x:c r="H12" s="34" t="n">
        <x:f>IFERROR(G12/F12,0)</x:f>
        <x:v>0.040984888164877824</x:v>
      </x:c>
      <x:c r="I12" s="35" t="str">
        <x:v>연결 완료</x:v>
      </x:c>
    </x:row>
    <x:row r="13">
      <x:c r="A13" s="31" t="str">
        <x:v>서울특별시</x:v>
      </x:c>
      <x:c r="B13" s="32" t="str">
        <x:v>동작구</x:v>
      </x:c>
      <x:c r="C13" s="32" t="str">
        <x:v>손대만</x:v>
      </x:c>
      <x:c r="D13" s="32" t="str">
        <x:v>손대만</x:v>
      </x:c>
      <x:c r="E13" s="32" t="str">
        <x:v>유지</x:v>
      </x:c>
      <x:c r="F13" s="33" t="n">
        <x:v>491639984</x:v>
      </x:c>
      <x:c r="G13" s="33" t="n">
        <x:v>21790730</x:v>
      </x:c>
      <x:c r="H13" s="34" t="n">
        <x:f>IFERROR(G13/F13,0)</x:f>
        <x:v>0.04432253418997752</x:v>
      </x:c>
      <x:c r="I13" s="35" t="str">
        <x:v>연결 완료</x:v>
      </x:c>
    </x:row>
    <x:row r="14">
      <x:c r="A14" s="31" t="str">
        <x:v>서울특별시</x:v>
      </x:c>
      <x:c r="B14" s="32" t="str">
        <x:v>마포구</x:v>
      </x:c>
      <x:c r="C14" s="32" t="str">
        <x:v>손대만</x:v>
      </x:c>
      <x:c r="D14" s="32" t="str">
        <x:v>손대만</x:v>
      </x:c>
      <x:c r="E14" s="32" t="str">
        <x:v>유지</x:v>
      </x:c>
      <x:c r="F14" s="33" t="n">
        <x:v>965586660</x:v>
      </x:c>
      <x:c r="G14" s="33" t="n">
        <x:v>42646090</x:v>
      </x:c>
      <x:c r="H14" s="34" t="n">
        <x:f>IFERROR(G14/F14,0)</x:f>
        <x:v>0.04416598920287486</x:v>
      </x:c>
      <x:c r="I14" s="35" t="str">
        <x:v>연결 완료</x:v>
      </x:c>
    </x:row>
    <x:row r="15">
      <x:c r="A15" s="31" t="str">
        <x:v>서울특별시</x:v>
      </x:c>
      <x:c r="B15" s="32" t="str">
        <x:v>영등포구</x:v>
      </x:c>
      <x:c r="C15" s="32" t="str">
        <x:v>손대만</x:v>
      </x:c>
      <x:c r="D15" s="32" t="str">
        <x:v>손대만</x:v>
      </x:c>
      <x:c r="E15" s="32" t="str">
        <x:v>유지</x:v>
      </x:c>
      <x:c r="F15" s="33" t="n">
        <x:v>3089772360</x:v>
      </x:c>
      <x:c r="G15" s="33" t="n">
        <x:v>130419830</x:v>
      </x:c>
      <x:c r="H15" s="34" t="n">
        <x:f>IFERROR(G15/F15,0)</x:f>
        <x:v>0.04221017434436497</x:v>
      </x:c>
      <x:c r="I15" s="35" t="str">
        <x:v>연결 완료</x:v>
      </x:c>
    </x:row>
    <x:row r="16">
      <x:c r="A16" s="36" t="str">
        <x:v>권역 합계</x:v>
      </x:c>
      <x:c r="B16" s="37"/>
      <x:c r="C16" s="37" t="str">
        <x:v>손대만</x:v>
      </x:c>
      <x:c r="D16" s="37" t="str">
        <x:v>-</x:v>
      </x:c>
      <x:c r="E16" s="37" t="str">
        <x:v>합계</x:v>
      </x:c>
      <x:c r="F16" s="38" t="n">
        <x:f>SUM(F9:F15)</x:f>
        <x:v>5379685666</x:v>
      </x:c>
      <x:c r="G16" s="38" t="n">
        <x:f>SUM(G9:G15)</x:f>
        <x:v>229559920</x:v>
      </x:c>
      <x:c r="H16" s="39" t="n">
        <x:f>IFERROR(G16/F16,0)</x:f>
        <x:v>0.04267162326059963</x:v>
      </x:c>
      <x:c r="I16" s="40" t="str">
        <x:v>현재 배정 기준</x:v>
      </x:c>
    </x:row>
  </x:sheetData>
  <x:mergeCells>
    <x:mergeCell ref="A1:I1"/>
    <x:mergeCell ref="A2:I2"/>
  </x:mergeCells>
  <x:conditionalFormatting sqref="E9:E15">
    <x:cfRule type="containsText" dxfId="3" priority="1" operator="containsText" text="변경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18" hidden="0" customWidth="1"/>
    <x:col min="8" max="8" width="15" hidden="0" customWidth="1"/>
    <x:col min="9" max="9" width="28" hidden="0" customWidth="1"/>
  </x:cols>
  <x:sheetData>
    <x:row r="1" ht="30" customHeight="1">
      <x:c r="A1" s="3" t="str">
        <x:v>신승현 권역 지역별 현황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시나리오: 권역별_API_검증 · 기준: 2025년 · 현재 배정 지역 기준</x:v>
      </x:c>
      <x:c r="B2" s="5"/>
      <x:c r="C2" s="5"/>
      <x:c r="D2" s="5"/>
      <x:c r="E2" s="5"/>
      <x:c r="F2" s="5"/>
      <x:c r="G2" s="5"/>
      <x:c r="H2" s="5"/>
      <x:c r="I2" s="5"/>
    </x:row>
    <x:row r="4" ht="34" customHeight="1">
      <x:c r="A4" s="9" t="str">
        <x:v>현재 지역수</x:v>
      </x:c>
      <x:c r="B4" s="10" t="n">
        <x:f>COUNTA(B9:B48)</x:f>
        <x:v>40</x:v>
      </x:c>
      <x:c r="C4" s="9" t="str">
        <x:v>현재 시공결과금액</x:v>
      </x:c>
      <x:c r="D4" s="10" t="n">
        <x:f>SUM(F9:F48)</x:f>
        <x:v>11870464203</x:v>
      </x:c>
      <x:c r="E4" s="10" t="str">
        <x:v>현재 정상시공비</x:v>
      </x:c>
      <x:c r="F4" s="10" t="n">
        <x:f>SUM(G9:G48)</x:f>
        <x:v>516583551</x:v>
      </x:c>
      <x:c r="G4" s="9" t="str">
        <x:v>현재 정상시공비율</x:v>
      </x:c>
      <x:c r="H4" s="11" t="n">
        <x:f>IFERROR(F4/D4,0)</x:f>
        <x:v>0.043518395082598776</x:v>
      </x:c>
    </x:row>
    <x:row r="6" ht="34" customHeight="1">
      <x:c r="A6" s="14" t="str">
        <x:v>기존 지역수</x:v>
      </x:c>
      <x:c r="B6" s="15" t="n">
        <x:v>40</x:v>
      </x:c>
      <x:c r="C6" s="14" t="str">
        <x:v>기존 시공결과금액</x:v>
      </x:c>
      <x:c r="D6" s="15" t="n">
        <x:v>11870464203</x:v>
      </x:c>
      <x:c r="E6" s="15" t="str">
        <x:v>기존 정상시공비</x:v>
      </x:c>
      <x:c r="F6" s="15" t="n">
        <x:v>516583551</x:v>
      </x:c>
      <x:c r="G6" s="15" t="str">
        <x:v>정상시공비 증감</x:v>
      </x:c>
      <x:c r="H6" s="15" t="n">
        <x:f>F4-F6</x:f>
        <x:v>0</x:v>
      </x:c>
    </x:row>
    <x:row r="8">
      <x:c r="A8" s="18" t="str">
        <x:v>시도</x:v>
      </x:c>
      <x:c r="B8" s="18" t="str">
        <x:v>시군구</x:v>
      </x:c>
      <x:c r="C8" s="18" t="str">
        <x:v>현재 권역</x:v>
      </x:c>
      <x:c r="D8" s="18" t="str">
        <x:v>기존 권역</x:v>
      </x:c>
      <x:c r="E8" s="18" t="str">
        <x:v>변경여부</x:v>
      </x:c>
      <x:c r="F8" s="18" t="str">
        <x:v>시공결과금액</x:v>
      </x:c>
      <x:c r="G8" s="18" t="str">
        <x:v>정상시공비</x:v>
      </x:c>
      <x:c r="H8" s="18" t="str">
        <x:v>정상시공비율</x:v>
      </x:c>
      <x:c r="I8" s="18" t="str">
        <x:v>데이터상태</x:v>
      </x:c>
    </x:row>
    <x:row r="9">
      <x:c r="A9" s="26" t="str">
        <x:v>경기도</x:v>
      </x:c>
      <x:c r="B9" s="27" t="str">
        <x:v>군포시</x:v>
      </x:c>
      <x:c r="C9" s="27" t="str">
        <x:v>신승현</x:v>
      </x:c>
      <x:c r="D9" s="27" t="str">
        <x:v>신승현</x:v>
      </x:c>
      <x:c r="E9" s="27" t="str">
        <x:v>유지</x:v>
      </x:c>
      <x:c r="F9" s="28" t="n">
        <x:v>213016000</x:v>
      </x:c>
      <x:c r="G9" s="28" t="n">
        <x:v>9829780</x:v>
      </x:c>
      <x:c r="H9" s="29" t="n">
        <x:f>IFERROR(G9/F9,0)</x:f>
        <x:v>0.04614573553160326</x:v>
      </x:c>
      <x:c r="I9" s="30" t="str">
        <x:v>연결 완료</x:v>
      </x:c>
    </x:row>
    <x:row r="10">
      <x:c r="A10" s="31" t="str">
        <x:v>경기도</x:v>
      </x:c>
      <x:c r="B10" s="32" t="str">
        <x:v>수원시 권선구</x:v>
      </x:c>
      <x:c r="C10" s="32" t="str">
        <x:v>신승현</x:v>
      </x:c>
      <x:c r="D10" s="32" t="str">
        <x:v>신승현</x:v>
      </x:c>
      <x:c r="E10" s="32" t="str">
        <x:v>유지</x:v>
      </x:c>
      <x:c r="F10" s="33" t="n">
        <x:v>215046000</x:v>
      </x:c>
      <x:c r="G10" s="33" t="n">
        <x:v>10039440</x:v>
      </x:c>
      <x:c r="H10" s="34" t="n">
        <x:f>IFERROR(G10/F10,0)</x:f>
        <x:v>0.04668508133143606</x:v>
      </x:c>
      <x:c r="I10" s="35" t="str">
        <x:v>연결 완료</x:v>
      </x:c>
    </x:row>
    <x:row r="11">
      <x:c r="A11" s="31" t="str">
        <x:v>경기도</x:v>
      </x:c>
      <x:c r="B11" s="32" t="str">
        <x:v>수원시 영통구</x:v>
      </x:c>
      <x:c r="C11" s="32" t="str">
        <x:v>신승현</x:v>
      </x:c>
      <x:c r="D11" s="32" t="str">
        <x:v>신승현</x:v>
      </x:c>
      <x:c r="E11" s="32" t="str">
        <x:v>유지</x:v>
      </x:c>
      <x:c r="F11" s="33" t="n">
        <x:v>1212697240</x:v>
      </x:c>
      <x:c r="G11" s="33" t="n">
        <x:v>49595570</x:v>
      </x:c>
      <x:c r="H11" s="34" t="n">
        <x:f>IFERROR(G11/F11,0)</x:f>
        <x:v>0.04089691009769265</x:v>
      </x:c>
      <x:c r="I11" s="35" t="str">
        <x:v>연결 완료</x:v>
      </x:c>
    </x:row>
    <x:row r="12">
      <x:c r="A12" s="31" t="str">
        <x:v>경기도</x:v>
      </x:c>
      <x:c r="B12" s="32" t="str">
        <x:v>수원시 장안구</x:v>
      </x:c>
      <x:c r="C12" s="32" t="str">
        <x:v>신승현</x:v>
      </x:c>
      <x:c r="D12" s="32" t="str">
        <x:v>신승현</x:v>
      </x:c>
      <x:c r="E12" s="32" t="str">
        <x:v>유지</x:v>
      </x:c>
      <x:c r="F12" s="33" t="n">
        <x:v>169871446</x:v>
      </x:c>
      <x:c r="G12" s="33" t="n">
        <x:v>7735510</x:v>
      </x:c>
      <x:c r="H12" s="34" t="n">
        <x:f>IFERROR(G12/F12,0)</x:f>
        <x:v>0.04553743540865603</x:v>
      </x:c>
      <x:c r="I12" s="35" t="str">
        <x:v>연결 완료</x:v>
      </x:c>
    </x:row>
    <x:row r="13">
      <x:c r="A13" s="31" t="str">
        <x:v>경기도</x:v>
      </x:c>
      <x:c r="B13" s="32" t="str">
        <x:v>수원시 팔달구</x:v>
      </x:c>
      <x:c r="C13" s="32" t="str">
        <x:v>신승현</x:v>
      </x:c>
      <x:c r="D13" s="32" t="str">
        <x:v>신승현</x:v>
      </x:c>
      <x:c r="E13" s="32" t="str">
        <x:v>유지</x:v>
      </x:c>
      <x:c r="F13" s="33" t="n">
        <x:v>198542500</x:v>
      </x:c>
      <x:c r="G13" s="33" t="n">
        <x:v>7700910</x:v>
      </x:c>
      <x:c r="H13" s="34" t="n">
        <x:f>IFERROR(G13/F13,0)</x:f>
        <x:v>0.03878721180603649</x:v>
      </x:c>
      <x:c r="I13" s="35" t="str">
        <x:v>연결 완료</x:v>
      </x:c>
    </x:row>
    <x:row r="14">
      <x:c r="A14" s="31" t="str">
        <x:v>경기도</x:v>
      </x:c>
      <x:c r="B14" s="32" t="str">
        <x:v>시흥시</x:v>
      </x:c>
      <x:c r="C14" s="32" t="str">
        <x:v>신승현</x:v>
      </x:c>
      <x:c r="D14" s="32" t="str">
        <x:v>신승현</x:v>
      </x:c>
      <x:c r="E14" s="32" t="str">
        <x:v>유지</x:v>
      </x:c>
      <x:c r="F14" s="33" t="n">
        <x:v>294784170</x:v>
      </x:c>
      <x:c r="G14" s="33" t="n">
        <x:v>13928760</x:v>
      </x:c>
      <x:c r="H14" s="34" t="n">
        <x:f>IFERROR(G14/F14,0)</x:f>
        <x:v>0.047250705490732424</x:v>
      </x:c>
      <x:c r="I14" s="35" t="str">
        <x:v>연결 완료</x:v>
      </x:c>
    </x:row>
    <x:row r="15">
      <x:c r="A15" s="31" t="str">
        <x:v>경기도</x:v>
      </x:c>
      <x:c r="B15" s="32" t="str">
        <x:v>안산시 단원구</x:v>
      </x:c>
      <x:c r="C15" s="32" t="str">
        <x:v>신승현</x:v>
      </x:c>
      <x:c r="D15" s="32" t="str">
        <x:v>신승현</x:v>
      </x:c>
      <x:c r="E15" s="32" t="str">
        <x:v>유지</x:v>
      </x:c>
      <x:c r="F15" s="33" t="n">
        <x:v>500006080</x:v>
      </x:c>
      <x:c r="G15" s="33" t="n">
        <x:v>21381610</x:v>
      </x:c>
      <x:c r="H15" s="34" t="n">
        <x:f>IFERROR(G15/F15,0)</x:f>
        <x:v>0.042762700005567936</x:v>
      </x:c>
      <x:c r="I15" s="35" t="str">
        <x:v>연결 완료</x:v>
      </x:c>
    </x:row>
    <x:row r="16">
      <x:c r="A16" s="31" t="str">
        <x:v>경기도</x:v>
      </x:c>
      <x:c r="B16" s="32" t="str">
        <x:v>안산시 상록구</x:v>
      </x:c>
      <x:c r="C16" s="32" t="str">
        <x:v>신승현</x:v>
      </x:c>
      <x:c r="D16" s="32" t="str">
        <x:v>신승현</x:v>
      </x:c>
      <x:c r="E16" s="32" t="str">
        <x:v>유지</x:v>
      </x:c>
      <x:c r="F16" s="33" t="n">
        <x:v>155766310</x:v>
      </x:c>
      <x:c r="G16" s="33" t="n">
        <x:v>7217370</x:v>
      </x:c>
      <x:c r="H16" s="34" t="n">
        <x:f>IFERROR(G16/F16,0)</x:f>
        <x:v>0.04633460213572498</x:v>
      </x:c>
      <x:c r="I16" s="35" t="str">
        <x:v>연결 완료</x:v>
      </x:c>
    </x:row>
    <x:row r="17">
      <x:c r="A17" s="31" t="str">
        <x:v>경기도</x:v>
      </x:c>
      <x:c r="B17" s="32" t="str">
        <x:v>안성시</x:v>
      </x:c>
      <x:c r="C17" s="32" t="str">
        <x:v>신승현</x:v>
      </x:c>
      <x:c r="D17" s="32" t="str">
        <x:v>신승현</x:v>
      </x:c>
      <x:c r="E17" s="32" t="str">
        <x:v>유지</x:v>
      </x:c>
      <x:c r="F17" s="33" t="n">
        <x:v>312179540</x:v>
      </x:c>
      <x:c r="G17" s="33" t="n">
        <x:v>13760940</x:v>
      </x:c>
      <x:c r="H17" s="34" t="n">
        <x:f>IFERROR(G17/F17,0)</x:f>
        <x:v>0.04408021102215731</x:v>
      </x:c>
      <x:c r="I17" s="35" t="str">
        <x:v>연결 완료</x:v>
      </x:c>
    </x:row>
    <x:row r="18">
      <x:c r="A18" s="31" t="str">
        <x:v>경기도</x:v>
      </x:c>
      <x:c r="B18" s="32" t="str">
        <x:v>안양시 동안구</x:v>
      </x:c>
      <x:c r="C18" s="32" t="str">
        <x:v>신승현</x:v>
      </x:c>
      <x:c r="D18" s="32" t="str">
        <x:v>신승현</x:v>
      </x:c>
      <x:c r="E18" s="32" t="str">
        <x:v>유지</x:v>
      </x:c>
      <x:c r="F18" s="33" t="n">
        <x:v>551000880</x:v>
      </x:c>
      <x:c r="G18" s="33" t="n">
        <x:v>23581260</x:v>
      </x:c>
      <x:c r="H18" s="34" t="n">
        <x:f>IFERROR(G18/F18,0)</x:f>
        <x:v>0.04279713673052573</x:v>
      </x:c>
      <x:c r="I18" s="35" t="str">
        <x:v>연결 완료</x:v>
      </x:c>
    </x:row>
    <x:row r="19">
      <x:c r="A19" s="31" t="str">
        <x:v>경기도</x:v>
      </x:c>
      <x:c r="B19" s="32" t="str">
        <x:v>안양시 만안구</x:v>
      </x:c>
      <x:c r="C19" s="32" t="str">
        <x:v>신승현</x:v>
      </x:c>
      <x:c r="D19" s="32" t="str">
        <x:v>신승현</x:v>
      </x:c>
      <x:c r="E19" s="32" t="str">
        <x:v>유지</x:v>
      </x:c>
      <x:c r="F19" s="33" t="n">
        <x:v>155352000</x:v>
      </x:c>
      <x:c r="G19" s="33" t="n">
        <x:v>6665670</x:v>
      </x:c>
      <x:c r="H19" s="34" t="n">
        <x:f>IFERROR(G19/F19,0)</x:f>
        <x:v>0.04290688243472887</x:v>
      </x:c>
      <x:c r="I19" s="35" t="str">
        <x:v>연결 완료</x:v>
      </x:c>
    </x:row>
    <x:row r="20">
      <x:c r="A20" s="31" t="str">
        <x:v>경기도</x:v>
      </x:c>
      <x:c r="B20" s="32" t="str">
        <x:v>오산시</x:v>
      </x:c>
      <x:c r="C20" s="32" t="str">
        <x:v>신승현</x:v>
      </x:c>
      <x:c r="D20" s="32" t="str">
        <x:v>신승현</x:v>
      </x:c>
      <x:c r="E20" s="32" t="str">
        <x:v>유지</x:v>
      </x:c>
      <x:c r="F20" s="33" t="n">
        <x:v>220637000</x:v>
      </x:c>
      <x:c r="G20" s="33" t="n">
        <x:v>9669610</x:v>
      </x:c>
      <x:c r="H20" s="34" t="n">
        <x:f>IFERROR(G20/F20,0)</x:f>
        <x:v>0.0438258768928149</x:v>
      </x:c>
      <x:c r="I20" s="35" t="str">
        <x:v>연결 완료</x:v>
      </x:c>
    </x:row>
    <x:row r="21">
      <x:c r="A21" s="31" t="str">
        <x:v>경기도</x:v>
      </x:c>
      <x:c r="B21" s="32" t="str">
        <x:v>용인시 기흥구</x:v>
      </x:c>
      <x:c r="C21" s="32" t="str">
        <x:v>신승현</x:v>
      </x:c>
      <x:c r="D21" s="32" t="str">
        <x:v>신승현</x:v>
      </x:c>
      <x:c r="E21" s="32" t="str">
        <x:v>유지</x:v>
      </x:c>
      <x:c r="F21" s="33" t="n">
        <x:v>958478466</x:v>
      </x:c>
      <x:c r="G21" s="33" t="n">
        <x:v>41281570</x:v>
      </x:c>
      <x:c r="H21" s="34" t="n">
        <x:f>IFERROR(G21/F21,0)</x:f>
        <x:v>0.04306989824432842</x:v>
      </x:c>
      <x:c r="I21" s="35" t="str">
        <x:v>연결 완료</x:v>
      </x:c>
    </x:row>
    <x:row r="22">
      <x:c r="A22" s="31" t="str">
        <x:v>경기도</x:v>
      </x:c>
      <x:c r="B22" s="32" t="str">
        <x:v>용인시 수지구</x:v>
      </x:c>
      <x:c r="C22" s="32" t="str">
        <x:v>신승현</x:v>
      </x:c>
      <x:c r="D22" s="32" t="str">
        <x:v>신승현</x:v>
      </x:c>
      <x:c r="E22" s="32" t="str">
        <x:v>유지</x:v>
      </x:c>
      <x:c r="F22" s="33" t="n">
        <x:v>274441920</x:v>
      </x:c>
      <x:c r="G22" s="33" t="n">
        <x:v>12230070</x:v>
      </x:c>
      <x:c r="H22" s="34" t="n">
        <x:f>IFERROR(G22/F22,0)</x:f>
        <x:v>0.04456341800844419</x:v>
      </x:c>
      <x:c r="I22" s="35" t="str">
        <x:v>연결 완료</x:v>
      </x:c>
    </x:row>
    <x:row r="23">
      <x:c r="A23" s="31" t="str">
        <x:v>경기도</x:v>
      </x:c>
      <x:c r="B23" s="32" t="str">
        <x:v>용인시 처인구</x:v>
      </x:c>
      <x:c r="C23" s="32" t="str">
        <x:v>신승현</x:v>
      </x:c>
      <x:c r="D23" s="32" t="str">
        <x:v>신승현</x:v>
      </x:c>
      <x:c r="E23" s="32" t="str">
        <x:v>유지</x:v>
      </x:c>
      <x:c r="F23" s="33" t="n">
        <x:v>397881156</x:v>
      </x:c>
      <x:c r="G23" s="33" t="n">
        <x:v>17351370</x:v>
      </x:c>
      <x:c r="H23" s="34" t="n">
        <x:f>IFERROR(G23/F23,0)</x:f>
        <x:v>0.043609428942143716</x:v>
      </x:c>
      <x:c r="I23" s="35" t="str">
        <x:v>연결 완료</x:v>
      </x:c>
    </x:row>
    <x:row r="24">
      <x:c r="A24" s="31" t="str">
        <x:v>경기도</x:v>
      </x:c>
      <x:c r="B24" s="32" t="str">
        <x:v>의왕시</x:v>
      </x:c>
      <x:c r="C24" s="32" t="str">
        <x:v>신승현</x:v>
      </x:c>
      <x:c r="D24" s="32" t="str">
        <x:v>신승현</x:v>
      </x:c>
      <x:c r="E24" s="32" t="str">
        <x:v>유지</x:v>
      </x:c>
      <x:c r="F24" s="33" t="n">
        <x:v>186924000</x:v>
      </x:c>
      <x:c r="G24" s="33" t="n">
        <x:v>7870560</x:v>
      </x:c>
      <x:c r="H24" s="34" t="n">
        <x:f>IFERROR(G24/F24,0)</x:f>
        <x:v>0.042105668613982156</x:v>
      </x:c>
      <x:c r="I24" s="35" t="str">
        <x:v>연결 완료</x:v>
      </x:c>
    </x:row>
    <x:row r="25">
      <x:c r="A25" s="31" t="str">
        <x:v>경기도</x:v>
      </x:c>
      <x:c r="B25" s="32" t="str">
        <x:v>평택시</x:v>
      </x:c>
      <x:c r="C25" s="32" t="str">
        <x:v>신승현</x:v>
      </x:c>
      <x:c r="D25" s="32" t="str">
        <x:v>신승현</x:v>
      </x:c>
      <x:c r="E25" s="32" t="str">
        <x:v>유지</x:v>
      </x:c>
      <x:c r="F25" s="33" t="n">
        <x:v>1039079220</x:v>
      </x:c>
      <x:c r="G25" s="33" t="n">
        <x:v>44373590</x:v>
      </x:c>
      <x:c r="H25" s="34" t="n">
        <x:f>IFERROR(G25/F25,0)</x:f>
        <x:v>0.04270472274481632</x:v>
      </x:c>
      <x:c r="I25" s="35" t="str">
        <x:v>연결 완료</x:v>
      </x:c>
    </x:row>
    <x:row r="26">
      <x:c r="A26" s="31" t="str">
        <x:v>경기도</x:v>
      </x:c>
      <x:c r="B26" s="32" t="str">
        <x:v>화성시</x:v>
      </x:c>
      <x:c r="C26" s="32" t="str">
        <x:v>신승현</x:v>
      </x:c>
      <x:c r="D26" s="32" t="str">
        <x:v>신승현</x:v>
      </x:c>
      <x:c r="E26" s="32" t="str">
        <x:v>유지</x:v>
      </x:c>
      <x:c r="F26" s="33" t="n">
        <x:v>2273202220</x:v>
      </x:c>
      <x:c r="G26" s="33" t="n">
        <x:v>99219440</x:v>
      </x:c>
      <x:c r="H26" s="34" t="n">
        <x:f>IFERROR(G26/F26,0)</x:f>
        <x:v>0.04364743229926988</x:v>
      </x:c>
      <x:c r="I26" s="35" t="str">
        <x:v>연결 완료</x:v>
      </x:c>
    </x:row>
    <x:row r="27">
      <x:c r="A27" s="31" t="str">
        <x:v>광주광역시</x:v>
      </x:c>
      <x:c r="B27" s="32" t="str">
        <x:v>동구</x:v>
      </x:c>
      <x:c r="C27" s="32" t="str">
        <x:v>신승현</x:v>
      </x:c>
      <x:c r="D27" s="32" t="str">
        <x:v>신승현</x:v>
      </x:c>
      <x:c r="E27" s="32" t="str">
        <x:v>유지</x:v>
      </x:c>
      <x:c r="F27" s="33"/>
      <x:c r="G27" s="33"/>
      <x:c r="H27" s="34" t="n">
        <x:f>IFERROR(G27/F27,0)</x:f>
        <x:v>0</x:v>
      </x:c>
      <x:c r="I27" s="35" t="str">
        <x:v>시도 확인 필요</x:v>
      </x:c>
    </x:row>
    <x:row r="28">
      <x:c r="A28" s="31" t="str">
        <x:v>광주광역시</x:v>
      </x:c>
      <x:c r="B28" s="32" t="str">
        <x:v>서구</x:v>
      </x:c>
      <x:c r="C28" s="32" t="str">
        <x:v>신승현</x:v>
      </x:c>
      <x:c r="D28" s="32" t="str">
        <x:v>신승현</x:v>
      </x:c>
      <x:c r="E28" s="32" t="str">
        <x:v>유지</x:v>
      </x:c>
      <x:c r="F28" s="33"/>
      <x:c r="G28" s="33"/>
      <x:c r="H28" s="34" t="n">
        <x:f>IFERROR(G28/F28,0)</x:f>
        <x:v>0</x:v>
      </x:c>
      <x:c r="I28" s="35" t="str">
        <x:v>시도 확인 필요</x:v>
      </x:c>
    </x:row>
    <x:row r="29">
      <x:c r="A29" s="31" t="str">
        <x:v>대구광역시</x:v>
      </x:c>
      <x:c r="B29" s="32" t="str">
        <x:v>동구</x:v>
      </x:c>
      <x:c r="C29" s="32" t="str">
        <x:v>신승현</x:v>
      </x:c>
      <x:c r="D29" s="32" t="str">
        <x:v>신승현</x:v>
      </x:c>
      <x:c r="E29" s="32" t="str">
        <x:v>유지</x:v>
      </x:c>
      <x:c r="F29" s="33"/>
      <x:c r="G29" s="33"/>
      <x:c r="H29" s="34" t="n">
        <x:f>IFERROR(G29/F29,0)</x:f>
        <x:v>0</x:v>
      </x:c>
      <x:c r="I29" s="35" t="str">
        <x:v>시도 확인 필요</x:v>
      </x:c>
    </x:row>
    <x:row r="30">
      <x:c r="A30" s="31" t="str">
        <x:v>대구광역시</x:v>
      </x:c>
      <x:c r="B30" s="32" t="str">
        <x:v>서구</x:v>
      </x:c>
      <x:c r="C30" s="32" t="str">
        <x:v>신승현</x:v>
      </x:c>
      <x:c r="D30" s="32" t="str">
        <x:v>신승현</x:v>
      </x:c>
      <x:c r="E30" s="32" t="str">
        <x:v>유지</x:v>
      </x:c>
      <x:c r="F30" s="33"/>
      <x:c r="G30" s="33"/>
      <x:c r="H30" s="34" t="n">
        <x:f>IFERROR(G30/F30,0)</x:f>
        <x:v>0</x:v>
      </x:c>
      <x:c r="I30" s="35" t="str">
        <x:v>시도 확인 필요</x:v>
      </x:c>
    </x:row>
    <x:row r="31">
      <x:c r="A31" s="31" t="str">
        <x:v>대구광역시</x:v>
      </x:c>
      <x:c r="B31" s="32" t="str">
        <x:v>중구</x:v>
      </x:c>
      <x:c r="C31" s="32" t="str">
        <x:v>신승현</x:v>
      </x:c>
      <x:c r="D31" s="32" t="str">
        <x:v>신승현</x:v>
      </x:c>
      <x:c r="E31" s="32" t="str">
        <x:v>유지</x:v>
      </x:c>
      <x:c r="F31" s="33"/>
      <x:c r="G31" s="33"/>
      <x:c r="H31" s="34" t="n">
        <x:f>IFERROR(G31/F31,0)</x:f>
        <x:v>0</x:v>
      </x:c>
      <x:c r="I31" s="35" t="str">
        <x:v>시도 확인 필요</x:v>
      </x:c>
    </x:row>
    <x:row r="32">
      <x:c r="A32" s="31" t="str">
        <x:v>대전광역시</x:v>
      </x:c>
      <x:c r="B32" s="32" t="str">
        <x:v>동구</x:v>
      </x:c>
      <x:c r="C32" s="32" t="str">
        <x:v>신승현</x:v>
      </x:c>
      <x:c r="D32" s="32" t="str">
        <x:v>신승현</x:v>
      </x:c>
      <x:c r="E32" s="32" t="str">
        <x:v>유지</x:v>
      </x:c>
      <x:c r="F32" s="33"/>
      <x:c r="G32" s="33"/>
      <x:c r="H32" s="34" t="n">
        <x:f>IFERROR(G32/F32,0)</x:f>
        <x:v>0</x:v>
      </x:c>
      <x:c r="I32" s="35" t="str">
        <x:v>시도 확인 필요</x:v>
      </x:c>
    </x:row>
    <x:row r="33">
      <x:c r="A33" s="31" t="str">
        <x:v>대전광역시</x:v>
      </x:c>
      <x:c r="B33" s="32" t="str">
        <x:v>서구</x:v>
      </x:c>
      <x:c r="C33" s="32" t="str">
        <x:v>신승현</x:v>
      </x:c>
      <x:c r="D33" s="32" t="str">
        <x:v>신승현</x:v>
      </x:c>
      <x:c r="E33" s="32" t="str">
        <x:v>유지</x:v>
      </x:c>
      <x:c r="F33" s="33"/>
      <x:c r="G33" s="33"/>
      <x:c r="H33" s="34" t="n">
        <x:f>IFERROR(G33/F33,0)</x:f>
        <x:v>0</x:v>
      </x:c>
      <x:c r="I33" s="35" t="str">
        <x:v>시도 확인 필요</x:v>
      </x:c>
    </x:row>
    <x:row r="34">
      <x:c r="A34" s="31" t="str">
        <x:v>대전광역시</x:v>
      </x:c>
      <x:c r="B34" s="32" t="str">
        <x:v>중구</x:v>
      </x:c>
      <x:c r="C34" s="32" t="str">
        <x:v>신승현</x:v>
      </x:c>
      <x:c r="D34" s="32" t="str">
        <x:v>신승현</x:v>
      </x:c>
      <x:c r="E34" s="32" t="str">
        <x:v>유지</x:v>
      </x:c>
      <x:c r="F34" s="33"/>
      <x:c r="G34" s="33"/>
      <x:c r="H34" s="34" t="n">
        <x:f>IFERROR(G34/F34,0)</x:f>
        <x:v>0</x:v>
      </x:c>
      <x:c r="I34" s="35" t="str">
        <x:v>시도 확인 필요</x:v>
      </x:c>
    </x:row>
    <x:row r="35">
      <x:c r="A35" s="31" t="str">
        <x:v>부산광역시</x:v>
      </x:c>
      <x:c r="B35" s="32" t="str">
        <x:v>동구</x:v>
      </x:c>
      <x:c r="C35" s="32" t="str">
        <x:v>신승현</x:v>
      </x:c>
      <x:c r="D35" s="32" t="str">
        <x:v>신승현</x:v>
      </x:c>
      <x:c r="E35" s="32" t="str">
        <x:v>유지</x:v>
      </x:c>
      <x:c r="F35" s="33"/>
      <x:c r="G35" s="33"/>
      <x:c r="H35" s="34" t="n">
        <x:f>IFERROR(G35/F35,0)</x:f>
        <x:v>0</x:v>
      </x:c>
      <x:c r="I35" s="35" t="str">
        <x:v>시도 확인 필요</x:v>
      </x:c>
    </x:row>
    <x:row r="36">
      <x:c r="A36" s="31" t="str">
        <x:v>부산광역시</x:v>
      </x:c>
      <x:c r="B36" s="32" t="str">
        <x:v>서구</x:v>
      </x:c>
      <x:c r="C36" s="32" t="str">
        <x:v>신승현</x:v>
      </x:c>
      <x:c r="D36" s="32" t="str">
        <x:v>신승현</x:v>
      </x:c>
      <x:c r="E36" s="32" t="str">
        <x:v>유지</x:v>
      </x:c>
      <x:c r="F36" s="33"/>
      <x:c r="G36" s="33"/>
      <x:c r="H36" s="34" t="n">
        <x:f>IFERROR(G36/F36,0)</x:f>
        <x:v>0</x:v>
      </x:c>
      <x:c r="I36" s="35" t="str">
        <x:v>시도 확인 필요</x:v>
      </x:c>
    </x:row>
    <x:row r="37">
      <x:c r="A37" s="31" t="str">
        <x:v>부산광역시</x:v>
      </x:c>
      <x:c r="B37" s="32" t="str">
        <x:v>중구</x:v>
      </x:c>
      <x:c r="C37" s="32" t="str">
        <x:v>신승현</x:v>
      </x:c>
      <x:c r="D37" s="32" t="str">
        <x:v>신승현</x:v>
      </x:c>
      <x:c r="E37" s="32" t="str">
        <x:v>유지</x:v>
      </x:c>
      <x:c r="F37" s="33"/>
      <x:c r="G37" s="33"/>
      <x:c r="H37" s="34" t="n">
        <x:f>IFERROR(G37/F37,0)</x:f>
        <x:v>0</x:v>
      </x:c>
      <x:c r="I37" s="35" t="str">
        <x:v>시도 확인 필요</x:v>
      </x:c>
    </x:row>
    <x:row r="38">
      <x:c r="A38" s="31" t="str">
        <x:v>울산광역시</x:v>
      </x:c>
      <x:c r="B38" s="32" t="str">
        <x:v>동구</x:v>
      </x:c>
      <x:c r="C38" s="32" t="str">
        <x:v>신승현</x:v>
      </x:c>
      <x:c r="D38" s="32" t="str">
        <x:v>신승현</x:v>
      </x:c>
      <x:c r="E38" s="32" t="str">
        <x:v>유지</x:v>
      </x:c>
      <x:c r="F38" s="33"/>
      <x:c r="G38" s="33"/>
      <x:c r="H38" s="34" t="n">
        <x:f>IFERROR(G38/F38,0)</x:f>
        <x:v>0</x:v>
      </x:c>
      <x:c r="I38" s="35" t="str">
        <x:v>시도 확인 필요</x:v>
      </x:c>
    </x:row>
    <x:row r="39">
      <x:c r="A39" s="31" t="str">
        <x:v>울산광역시</x:v>
      </x:c>
      <x:c r="B39" s="32" t="str">
        <x:v>중구</x:v>
      </x:c>
      <x:c r="C39" s="32" t="str">
        <x:v>신승현</x:v>
      </x:c>
      <x:c r="D39" s="32" t="str">
        <x:v>신승현</x:v>
      </x:c>
      <x:c r="E39" s="32" t="str">
        <x:v>유지</x:v>
      </x:c>
      <x:c r="F39" s="33"/>
      <x:c r="G39" s="33"/>
      <x:c r="H39" s="34" t="n">
        <x:f>IFERROR(G39/F39,0)</x:f>
        <x:v>0</x:v>
      </x:c>
      <x:c r="I39" s="35" t="str">
        <x:v>시도 확인 필요</x:v>
      </x:c>
    </x:row>
    <x:row r="40">
      <x:c r="A40" s="31" t="str">
        <x:v>인천광역시</x:v>
      </x:c>
      <x:c r="B40" s="32" t="str">
        <x:v>계양구</x:v>
      </x:c>
      <x:c r="C40" s="32" t="str">
        <x:v>신승현</x:v>
      </x:c>
      <x:c r="D40" s="32" t="str">
        <x:v>신승현</x:v>
      </x:c>
      <x:c r="E40" s="32" t="str">
        <x:v>유지</x:v>
      </x:c>
      <x:c r="F40" s="33" t="n">
        <x:v>92461980</x:v>
      </x:c>
      <x:c r="G40" s="33" t="n">
        <x:v>3857790</x:v>
      </x:c>
      <x:c r="H40" s="34" t="n">
        <x:f>IFERROR(G40/F40,0)</x:f>
        <x:v>0.04172298711318966</x:v>
      </x:c>
      <x:c r="I40" s="35" t="str">
        <x:v>연결 완료</x:v>
      </x:c>
    </x:row>
    <x:row r="41">
      <x:c r="A41" s="31" t="str">
        <x:v>인천광역시</x:v>
      </x:c>
      <x:c r="B41" s="32" t="str">
        <x:v>남동구</x:v>
      </x:c>
      <x:c r="C41" s="32" t="str">
        <x:v>신승현</x:v>
      </x:c>
      <x:c r="D41" s="32" t="str">
        <x:v>신승현</x:v>
      </x:c>
      <x:c r="E41" s="32" t="str">
        <x:v>유지</x:v>
      </x:c>
      <x:c r="F41" s="33" t="n">
        <x:v>301859000</x:v>
      </x:c>
      <x:c r="G41" s="33" t="n">
        <x:v>13257830</x:v>
      </x:c>
      <x:c r="H41" s="34" t="n">
        <x:f>IFERROR(G41/F41,0)</x:f>
        <x:v>0.04392060531572688</x:v>
      </x:c>
      <x:c r="I41" s="35" t="str">
        <x:v>연결 완료</x:v>
      </x:c>
    </x:row>
    <x:row r="42">
      <x:c r="A42" s="31" t="str">
        <x:v>인천광역시</x:v>
      </x:c>
      <x:c r="B42" s="32" t="str">
        <x:v>동구</x:v>
      </x:c>
      <x:c r="C42" s="32" t="str">
        <x:v>신승현</x:v>
      </x:c>
      <x:c r="D42" s="32" t="str">
        <x:v>신승현</x:v>
      </x:c>
      <x:c r="E42" s="32" t="str">
        <x:v>유지</x:v>
      </x:c>
      <x:c r="F42" s="33" t="n">
        <x:v>30495000</x:v>
      </x:c>
      <x:c r="G42" s="33" t="n">
        <x:v>1334280</x:v>
      </x:c>
      <x:c r="H42" s="34" t="n">
        <x:f>IFERROR(G42/F42,0)</x:f>
        <x:v>0.043754058042302015</x:v>
      </x:c>
      <x:c r="I42" s="35" t="str">
        <x:v>경인 데이터 기준 인천광역시 동구 연결</x:v>
      </x:c>
    </x:row>
    <x:row r="43">
      <x:c r="A43" s="31" t="str">
        <x:v>인천광역시</x:v>
      </x:c>
      <x:c r="B43" s="32" t="str">
        <x:v>미추홀구</x:v>
      </x:c>
      <x:c r="C43" s="32" t="str">
        <x:v>신승현</x:v>
      </x:c>
      <x:c r="D43" s="32" t="str">
        <x:v>신승현</x:v>
      </x:c>
      <x:c r="E43" s="32" t="str">
        <x:v>유지</x:v>
      </x:c>
      <x:c r="F43" s="33" t="n">
        <x:v>308763970</x:v>
      </x:c>
      <x:c r="G43" s="33" t="n">
        <x:v>15425550</x:v>
      </x:c>
      <x:c r="H43" s="34" t="n">
        <x:f>IFERROR(G43/F43,0)</x:f>
        <x:v>0.04995903505192008</x:v>
      </x:c>
      <x:c r="I43" s="35" t="str">
        <x:v>연결 완료</x:v>
      </x:c>
    </x:row>
    <x:row r="44">
      <x:c r="A44" s="31" t="str">
        <x:v>인천광역시</x:v>
      </x:c>
      <x:c r="B44" s="32" t="str">
        <x:v>부평구</x:v>
      </x:c>
      <x:c r="C44" s="32" t="str">
        <x:v>신승현</x:v>
      </x:c>
      <x:c r="D44" s="32" t="str">
        <x:v>신승현</x:v>
      </x:c>
      <x:c r="E44" s="32" t="str">
        <x:v>유지</x:v>
      </x:c>
      <x:c r="F44" s="33" t="n">
        <x:v>289850480</x:v>
      </x:c>
      <x:c r="G44" s="33" t="n">
        <x:v>13374480</x:v>
      </x:c>
      <x:c r="H44" s="34" t="n">
        <x:f>IFERROR(G44/F44,0)</x:f>
        <x:v>0.04614268708473417</x:v>
      </x:c>
      <x:c r="I44" s="35" t="str">
        <x:v>연결 완료</x:v>
      </x:c>
    </x:row>
    <x:row r="45">
      <x:c r="A45" s="31" t="str">
        <x:v>인천광역시</x:v>
      </x:c>
      <x:c r="B45" s="32" t="str">
        <x:v>서구</x:v>
      </x:c>
      <x:c r="C45" s="32" t="str">
        <x:v>신승현</x:v>
      </x:c>
      <x:c r="D45" s="32" t="str">
        <x:v>신승현</x:v>
      </x:c>
      <x:c r="E45" s="32" t="str">
        <x:v>유지</x:v>
      </x:c>
      <x:c r="F45" s="33" t="n">
        <x:v>546579900</x:v>
      </x:c>
      <x:c r="G45" s="33" t="n">
        <x:v>22403990</x:v>
      </x:c>
      <x:c r="H45" s="34" t="n">
        <x:f>IFERROR(G45/F45,0)</x:f>
        <x:v>0.04098941435643718</x:v>
      </x:c>
      <x:c r="I45" s="35" t="str">
        <x:v>경인 데이터 기준 인천광역시 서구 연결</x:v>
      </x:c>
    </x:row>
    <x:row r="46">
      <x:c r="A46" s="31" t="str">
        <x:v>인천광역시</x:v>
      </x:c>
      <x:c r="B46" s="32" t="str">
        <x:v>연수구</x:v>
      </x:c>
      <x:c r="C46" s="32" t="str">
        <x:v>신승현</x:v>
      </x:c>
      <x:c r="D46" s="32" t="str">
        <x:v>신승현</x:v>
      </x:c>
      <x:c r="E46" s="32" t="str">
        <x:v>유지</x:v>
      </x:c>
      <x:c r="F46" s="33" t="n">
        <x:v>646015104</x:v>
      </x:c>
      <x:c r="G46" s="33" t="n">
        <x:v>29563840</x:v>
      </x:c>
      <x:c r="H46" s="34" t="n">
        <x:f>IFERROR(G46/F46,0)</x:f>
        <x:v>0.045763388219480394</x:v>
      </x:c>
      <x:c r="I46" s="35" t="str">
        <x:v>연결 완료</x:v>
      </x:c>
    </x:row>
    <x:row r="47">
      <x:c r="A47" s="31" t="str">
        <x:v>인천광역시</x:v>
      </x:c>
      <x:c r="B47" s="32" t="str">
        <x:v>옹진군</x:v>
      </x:c>
      <x:c r="C47" s="32" t="str">
        <x:v>신승현</x:v>
      </x:c>
      <x:c r="D47" s="32" t="str">
        <x:v>신승현</x:v>
      </x:c>
      <x:c r="E47" s="32" t="str">
        <x:v>유지</x:v>
      </x:c>
      <x:c r="F47" s="33" t="n">
        <x:v>484000</x:v>
      </x:c>
      <x:c r="G47" s="33" t="n">
        <x:v>14390</x:v>
      </x:c>
      <x:c r="H47" s="34" t="n">
        <x:f>IFERROR(G47/F47,0)</x:f>
        <x:v>0.029731404958677685</x:v>
      </x:c>
      <x:c r="I47" s="35" t="str">
        <x:v>연결 완료</x:v>
      </x:c>
    </x:row>
    <x:row r="48">
      <x:c r="A48" s="31" t="str">
        <x:v>인천광역시</x:v>
      </x:c>
      <x:c r="B48" s="32" t="str">
        <x:v>중구</x:v>
      </x:c>
      <x:c r="C48" s="32" t="str">
        <x:v>신승현</x:v>
      </x:c>
      <x:c r="D48" s="32" t="str">
        <x:v>신승현</x:v>
      </x:c>
      <x:c r="E48" s="32" t="str">
        <x:v>유지</x:v>
      </x:c>
      <x:c r="F48" s="33" t="n">
        <x:v>325048621</x:v>
      </x:c>
      <x:c r="G48" s="33" t="n">
        <x:v>13918371</x:v>
      </x:c>
      <x:c r="H48" s="34" t="n">
        <x:f>IFERROR(G48/F48,0)</x:f>
        <x:v>0.042819351016413015</x:v>
      </x:c>
      <x:c r="I48" s="35" t="str">
        <x:v>중구 원본 9:1 분배 (인천 10%)</x:v>
      </x:c>
    </x:row>
    <x:row r="49">
      <x:c r="A49" s="36" t="str">
        <x:v>권역 합계</x:v>
      </x:c>
      <x:c r="B49" s="37"/>
      <x:c r="C49" s="37" t="str">
        <x:v>신승현</x:v>
      </x:c>
      <x:c r="D49" s="37" t="str">
        <x:v>-</x:v>
      </x:c>
      <x:c r="E49" s="37" t="str">
        <x:v>합계</x:v>
      </x:c>
      <x:c r="F49" s="38" t="n">
        <x:f>SUM(F9:F48)</x:f>
        <x:v>11870464203</x:v>
      </x:c>
      <x:c r="G49" s="38" t="n">
        <x:f>SUM(G9:G48)</x:f>
        <x:v>516583551</x:v>
      </x:c>
      <x:c r="H49" s="39" t="n">
        <x:f>IFERROR(G49/F49,0)</x:f>
        <x:v>0.043518395082598776</x:v>
      </x:c>
      <x:c r="I49" s="40" t="str">
        <x:v>현재 배정 기준</x:v>
      </x:c>
    </x:row>
  </x:sheetData>
  <x:mergeCells>
    <x:mergeCell ref="A1:I1"/>
    <x:mergeCell ref="A2:I2"/>
  </x:mergeCells>
  <x:conditionalFormatting sqref="E9:E48">
    <x:cfRule type="containsText" dxfId="4" priority="1" operator="containsText" text="변경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18" hidden="0" customWidth="1"/>
    <x:col min="8" max="8" width="15" hidden="0" customWidth="1"/>
    <x:col min="9" max="9" width="28" hidden="0" customWidth="1"/>
  </x:cols>
  <x:sheetData>
    <x:row r="1" ht="30" customHeight="1">
      <x:c r="A1" s="3" t="str">
        <x:v>이정일 권역 지역별 현황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시나리오: 권역별_API_검증 · 기준: 2025년 · 현재 배정 지역 기준</x:v>
      </x:c>
      <x:c r="B2" s="5"/>
      <x:c r="C2" s="5"/>
      <x:c r="D2" s="5"/>
      <x:c r="E2" s="5"/>
      <x:c r="F2" s="5"/>
      <x:c r="G2" s="5"/>
      <x:c r="H2" s="5"/>
      <x:c r="I2" s="5"/>
    </x:row>
    <x:row r="4" ht="34" customHeight="1">
      <x:c r="A4" s="9" t="str">
        <x:v>현재 지역수</x:v>
      </x:c>
      <x:c r="B4" s="10" t="n">
        <x:f>COUNTA(B9:B12)</x:f>
        <x:v>4</x:v>
      </x:c>
      <x:c r="C4" s="9" t="str">
        <x:v>현재 시공결과금액</x:v>
      </x:c>
      <x:c r="D4" s="10" t="n">
        <x:f>SUM(F9:F12)</x:f>
        <x:v>3014936090</x:v>
      </x:c>
      <x:c r="E4" s="10" t="str">
        <x:v>현재 정상시공비</x:v>
      </x:c>
      <x:c r="F4" s="10" t="n">
        <x:f>SUM(G9:G12)</x:f>
        <x:v>131531160</x:v>
      </x:c>
      <x:c r="G4" s="9" t="str">
        <x:v>현재 정상시공비율</x:v>
      </x:c>
      <x:c r="H4" s="11" t="n">
        <x:f>IFERROR(F4/D4,0)</x:f>
        <x:v>0.0436265168061987</x:v>
      </x:c>
    </x:row>
    <x:row r="6" ht="34" customHeight="1">
      <x:c r="A6" s="14" t="str">
        <x:v>기존 지역수</x:v>
      </x:c>
      <x:c r="B6" s="15" t="n">
        <x:v>4</x:v>
      </x:c>
      <x:c r="C6" s="14" t="str">
        <x:v>기존 시공결과금액</x:v>
      </x:c>
      <x:c r="D6" s="15" t="n">
        <x:v>3014936090</x:v>
      </x:c>
      <x:c r="E6" s="15" t="str">
        <x:v>기존 정상시공비</x:v>
      </x:c>
      <x:c r="F6" s="15" t="n">
        <x:v>131531160</x:v>
      </x:c>
      <x:c r="G6" s="15" t="str">
        <x:v>정상시공비 증감</x:v>
      </x:c>
      <x:c r="H6" s="15" t="n">
        <x:f>F4-F6</x:f>
        <x:v>0</x:v>
      </x:c>
    </x:row>
    <x:row r="8">
      <x:c r="A8" s="18" t="str">
        <x:v>시도</x:v>
      </x:c>
      <x:c r="B8" s="18" t="str">
        <x:v>시군구</x:v>
      </x:c>
      <x:c r="C8" s="18" t="str">
        <x:v>현재 권역</x:v>
      </x:c>
      <x:c r="D8" s="18" t="str">
        <x:v>기존 권역</x:v>
      </x:c>
      <x:c r="E8" s="18" t="str">
        <x:v>변경여부</x:v>
      </x:c>
      <x:c r="F8" s="18" t="str">
        <x:v>시공결과금액</x:v>
      </x:c>
      <x:c r="G8" s="18" t="str">
        <x:v>정상시공비</x:v>
      </x:c>
      <x:c r="H8" s="18" t="str">
        <x:v>정상시공비율</x:v>
      </x:c>
      <x:c r="I8" s="18" t="str">
        <x:v>데이터상태</x:v>
      </x:c>
    </x:row>
    <x:row r="9">
      <x:c r="A9" s="26" t="str">
        <x:v>경기도</x:v>
      </x:c>
      <x:c r="B9" s="27" t="str">
        <x:v>광주시</x:v>
      </x:c>
      <x:c r="C9" s="27" t="str">
        <x:v>이정일</x:v>
      </x:c>
      <x:c r="D9" s="27" t="str">
        <x:v>이정일</x:v>
      </x:c>
      <x:c r="E9" s="27" t="str">
        <x:v>유지</x:v>
      </x:c>
      <x:c r="F9" s="28" t="n">
        <x:v>211776400</x:v>
      </x:c>
      <x:c r="G9" s="28" t="n">
        <x:v>9440640</x:v>
      </x:c>
      <x:c r="H9" s="29" t="n">
        <x:f>IFERROR(G9/F9,0)</x:f>
        <x:v>0.04457833828509692</x:v>
      </x:c>
      <x:c r="I9" s="30" t="str">
        <x:v>연결 완료</x:v>
      </x:c>
    </x:row>
    <x:row r="10">
      <x:c r="A10" s="31" t="str">
        <x:v>경기도</x:v>
      </x:c>
      <x:c r="B10" s="32" t="str">
        <x:v>성남시 분당구</x:v>
      </x:c>
      <x:c r="C10" s="32" t="str">
        <x:v>이정일</x:v>
      </x:c>
      <x:c r="D10" s="32" t="str">
        <x:v>이정일</x:v>
      </x:c>
      <x:c r="E10" s="32" t="str">
        <x:v>유지</x:v>
      </x:c>
      <x:c r="F10" s="33" t="n">
        <x:v>1929885560</x:v>
      </x:c>
      <x:c r="G10" s="33" t="n">
        <x:v>84500020</x:v>
      </x:c>
      <x:c r="H10" s="34" t="n">
        <x:f>IFERROR(G10/F10,0)</x:f>
        <x:v>0.043784990028113376</x:v>
      </x:c>
      <x:c r="I10" s="35" t="str">
        <x:v>연결 완료</x:v>
      </x:c>
    </x:row>
    <x:row r="11">
      <x:c r="A11" s="31" t="str">
        <x:v>경기도</x:v>
      </x:c>
      <x:c r="B11" s="32" t="str">
        <x:v>성남시 수정구</x:v>
      </x:c>
      <x:c r="C11" s="32" t="str">
        <x:v>이정일</x:v>
      </x:c>
      <x:c r="D11" s="32" t="str">
        <x:v>이정일</x:v>
      </x:c>
      <x:c r="E11" s="32" t="str">
        <x:v>유지</x:v>
      </x:c>
      <x:c r="F11" s="33" t="n">
        <x:v>616586330</x:v>
      </x:c>
      <x:c r="G11" s="33" t="n">
        <x:v>26874640</x:v>
      </x:c>
      <x:c r="H11" s="34" t="n">
        <x:f>IFERROR(G11/F11,0)</x:f>
        <x:v>0.04358617551576273</x:v>
      </x:c>
      <x:c r="I11" s="35" t="str">
        <x:v>연결 완료</x:v>
      </x:c>
    </x:row>
    <x:row r="12">
      <x:c r="A12" s="31" t="str">
        <x:v>경기도</x:v>
      </x:c>
      <x:c r="B12" s="32" t="str">
        <x:v>성남시 중원구</x:v>
      </x:c>
      <x:c r="C12" s="32" t="str">
        <x:v>이정일</x:v>
      </x:c>
      <x:c r="D12" s="32" t="str">
        <x:v>이정일</x:v>
      </x:c>
      <x:c r="E12" s="32" t="str">
        <x:v>유지</x:v>
      </x:c>
      <x:c r="F12" s="33" t="n">
        <x:v>256687800</x:v>
      </x:c>
      <x:c r="G12" s="33" t="n">
        <x:v>10715860</x:v>
      </x:c>
      <x:c r="H12" s="34" t="n">
        <x:f>IFERROR(G12/F12,0)</x:f>
        <x:v>0.04174666657316787</x:v>
      </x:c>
      <x:c r="I12" s="35" t="str">
        <x:v>연결 완료</x:v>
      </x:c>
    </x:row>
    <x:row r="13">
      <x:c r="A13" s="36" t="str">
        <x:v>권역 합계</x:v>
      </x:c>
      <x:c r="B13" s="37"/>
      <x:c r="C13" s="37" t="str">
        <x:v>이정일</x:v>
      </x:c>
      <x:c r="D13" s="37" t="str">
        <x:v>-</x:v>
      </x:c>
      <x:c r="E13" s="37" t="str">
        <x:v>합계</x:v>
      </x:c>
      <x:c r="F13" s="38" t="n">
        <x:f>SUM(F9:F12)</x:f>
        <x:v>3014936090</x:v>
      </x:c>
      <x:c r="G13" s="38" t="n">
        <x:f>SUM(G9:G12)</x:f>
        <x:v>131531160</x:v>
      </x:c>
      <x:c r="H13" s="39" t="n">
        <x:f>IFERROR(G13/F13,0)</x:f>
        <x:v>0.0436265168061987</x:v>
      </x:c>
      <x:c r="I13" s="40" t="str">
        <x:v>현재 배정 기준</x:v>
      </x:c>
    </x:row>
  </x:sheetData>
  <x:mergeCells>
    <x:mergeCell ref="A1:I1"/>
    <x:mergeCell ref="A2:I2"/>
  </x:mergeCells>
  <x:conditionalFormatting sqref="E9:E12">
    <x:cfRule type="containsText" dxfId="5" priority="1" operator="containsText" text="변경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18" hidden="0" customWidth="1"/>
    <x:col min="8" max="8" width="15" hidden="0" customWidth="1"/>
    <x:col min="9" max="9" width="28" hidden="0" customWidth="1"/>
  </x:cols>
  <x:sheetData>
    <x:row r="1" ht="30" customHeight="1">
      <x:c r="A1" s="3" t="str">
        <x:v>이현석 권역 지역별 현황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시나리오: 권역별_API_검증 · 기준: 2025년 · 현재 배정 지역 기준</x:v>
      </x:c>
      <x:c r="B2" s="5"/>
      <x:c r="C2" s="5"/>
      <x:c r="D2" s="5"/>
      <x:c r="E2" s="5"/>
      <x:c r="F2" s="5"/>
      <x:c r="G2" s="5"/>
      <x:c r="H2" s="5"/>
      <x:c r="I2" s="5"/>
    </x:row>
    <x:row r="4" ht="34" customHeight="1">
      <x:c r="A4" s="9" t="str">
        <x:v>현재 지역수</x:v>
      </x:c>
      <x:c r="B4" s="10" t="n">
        <x:f>COUNTA(B9:B26)</x:f>
        <x:v>18</x:v>
      </x:c>
      <x:c r="C4" s="9" t="str">
        <x:v>현재 시공결과금액</x:v>
      </x:c>
      <x:c r="D4" s="10" t="n">
        <x:f>SUM(F9:F26)</x:f>
        <x:v>6426529860</x:v>
      </x:c>
      <x:c r="E4" s="10" t="str">
        <x:v>현재 정상시공비</x:v>
      </x:c>
      <x:c r="F4" s="10" t="n">
        <x:f>SUM(G9:G26)</x:f>
        <x:v>269615570</x:v>
      </x:c>
      <x:c r="G4" s="9" t="str">
        <x:v>현재 정상시공비율</x:v>
      </x:c>
      <x:c r="H4" s="11" t="n">
        <x:f>IFERROR(F4/D4,0)</x:f>
        <x:v>0.041953523265820476</x:v>
      </x:c>
    </x:row>
    <x:row r="6" ht="34" customHeight="1">
      <x:c r="A6" s="14" t="str">
        <x:v>기존 지역수</x:v>
      </x:c>
      <x:c r="B6" s="15" t="n">
        <x:v>18</x:v>
      </x:c>
      <x:c r="C6" s="14" t="str">
        <x:v>기존 시공결과금액</x:v>
      </x:c>
      <x:c r="D6" s="15" t="n">
        <x:v>6426529860</x:v>
      </x:c>
      <x:c r="E6" s="15" t="str">
        <x:v>기존 정상시공비</x:v>
      </x:c>
      <x:c r="F6" s="15" t="n">
        <x:v>269615570</x:v>
      </x:c>
      <x:c r="G6" s="15" t="str">
        <x:v>정상시공비 증감</x:v>
      </x:c>
      <x:c r="H6" s="15" t="n">
        <x:f>F4-F6</x:f>
        <x:v>0</x:v>
      </x:c>
    </x:row>
    <x:row r="8">
      <x:c r="A8" s="18" t="str">
        <x:v>시도</x:v>
      </x:c>
      <x:c r="B8" s="18" t="str">
        <x:v>시군구</x:v>
      </x:c>
      <x:c r="C8" s="18" t="str">
        <x:v>현재 권역</x:v>
      </x:c>
      <x:c r="D8" s="18" t="str">
        <x:v>기존 권역</x:v>
      </x:c>
      <x:c r="E8" s="18" t="str">
        <x:v>변경여부</x:v>
      </x:c>
      <x:c r="F8" s="18" t="str">
        <x:v>시공결과금액</x:v>
      </x:c>
      <x:c r="G8" s="18" t="str">
        <x:v>정상시공비</x:v>
      </x:c>
      <x:c r="H8" s="18" t="str">
        <x:v>정상시공비율</x:v>
      </x:c>
      <x:c r="I8" s="18" t="str">
        <x:v>데이터상태</x:v>
      </x:c>
    </x:row>
    <x:row r="9">
      <x:c r="A9" s="26" t="str">
        <x:v>강원특별자치도</x:v>
      </x:c>
      <x:c r="B9" s="27" t="str">
        <x:v>원주시</x:v>
      </x:c>
      <x:c r="C9" s="27" t="str">
        <x:v>이현석</x:v>
      </x:c>
      <x:c r="D9" s="27" t="str">
        <x:v>이현석</x:v>
      </x:c>
      <x:c r="E9" s="27" t="str">
        <x:v>유지</x:v>
      </x:c>
      <x:c r="F9" s="28" t="n">
        <x:v>261862930</x:v>
      </x:c>
      <x:c r="G9" s="28" t="n">
        <x:v>11059590</x:v>
      </x:c>
      <x:c r="H9" s="29" t="n">
        <x:f>IFERROR(G9/F9,0)</x:f>
        <x:v>0.04223427118912937</x:v>
      </x:c>
      <x:c r="I9" s="30" t="str">
        <x:v>연결 완료</x:v>
      </x:c>
    </x:row>
    <x:row r="10">
      <x:c r="A10" s="31" t="str">
        <x:v>경기도</x:v>
      </x:c>
      <x:c r="B10" s="32" t="str">
        <x:v>김포시</x:v>
      </x:c>
      <x:c r="C10" s="32" t="str">
        <x:v>이현석</x:v>
      </x:c>
      <x:c r="D10" s="32" t="str">
        <x:v>이현석</x:v>
      </x:c>
      <x:c r="E10" s="32" t="str">
        <x:v>유지</x:v>
      </x:c>
      <x:c r="F10" s="33" t="n">
        <x:v>453872340</x:v>
      </x:c>
      <x:c r="G10" s="33" t="n">
        <x:v>20448700</x:v>
      </x:c>
      <x:c r="H10" s="34" t="n">
        <x:f>IFERROR(G10/F10,0)</x:f>
        <x:v>0.04505385809586898</x:v>
      </x:c>
      <x:c r="I10" s="35" t="str">
        <x:v>연결 완료</x:v>
      </x:c>
    </x:row>
    <x:row r="11">
      <x:c r="A11" s="31" t="str">
        <x:v>경기도</x:v>
      </x:c>
      <x:c r="B11" s="32" t="str">
        <x:v>부천시</x:v>
      </x:c>
      <x:c r="C11" s="32" t="str">
        <x:v>이현석</x:v>
      </x:c>
      <x:c r="D11" s="32" t="str">
        <x:v>이현석</x:v>
      </x:c>
      <x:c r="E11" s="32" t="str">
        <x:v>유지</x:v>
      </x:c>
      <x:c r="F11" s="33" t="n">
        <x:v>347704860</x:v>
      </x:c>
      <x:c r="G11" s="33" t="n">
        <x:v>15073690</x:v>
      </x:c>
      <x:c r="H11" s="34" t="n">
        <x:f>IFERROR(G11/F11,0)</x:f>
        <x:v>0.04335196810306304</x:v>
      </x:c>
      <x:c r="I11" s="35" t="str">
        <x:v>부천시 및 3개 구 합산</x:v>
      </x:c>
    </x:row>
    <x:row r="12">
      <x:c r="A12" s="31" t="str">
        <x:v>경기도</x:v>
      </x:c>
      <x:c r="B12" s="32" t="str">
        <x:v>여주시</x:v>
      </x:c>
      <x:c r="C12" s="32" t="str">
        <x:v>이현석</x:v>
      </x:c>
      <x:c r="D12" s="32" t="str">
        <x:v>이현석</x:v>
      </x:c>
      <x:c r="E12" s="32" t="str">
        <x:v>유지</x:v>
      </x:c>
      <x:c r="F12" s="33" t="n">
        <x:v>49069000</x:v>
      </x:c>
      <x:c r="G12" s="33" t="n">
        <x:v>2101080</x:v>
      </x:c>
      <x:c r="H12" s="34" t="n">
        <x:f>IFERROR(G12/F12,0)</x:f>
        <x:v>0.0428188876887648</x:v>
      </x:c>
      <x:c r="I12" s="35" t="str">
        <x:v>연결 완료</x:v>
      </x:c>
    </x:row>
    <x:row r="13">
      <x:c r="A13" s="31" t="str">
        <x:v>경기도</x:v>
      </x:c>
      <x:c r="B13" s="32" t="str">
        <x:v>이천시</x:v>
      </x:c>
      <x:c r="C13" s="32" t="str">
        <x:v>이현석</x:v>
      </x:c>
      <x:c r="D13" s="32" t="str">
        <x:v>이현석</x:v>
      </x:c>
      <x:c r="E13" s="32" t="str">
        <x:v>유지</x:v>
      </x:c>
      <x:c r="F13" s="33" t="n">
        <x:v>277550390</x:v>
      </x:c>
      <x:c r="G13" s="33" t="n">
        <x:v>11600440</x:v>
      </x:c>
      <x:c r="H13" s="34" t="n">
        <x:f>IFERROR(G13/F13,0)</x:f>
        <x:v>0.04179579787295561</x:v>
      </x:c>
      <x:c r="I13" s="35" t="str">
        <x:v>연결 완료</x:v>
      </x:c>
    </x:row>
    <x:row r="14">
      <x:c r="A14" s="31" t="str">
        <x:v>부산광역시</x:v>
      </x:c>
      <x:c r="B14" s="32" t="str">
        <x:v>강서구</x:v>
      </x:c>
      <x:c r="C14" s="32" t="str">
        <x:v>이현석</x:v>
      </x:c>
      <x:c r="D14" s="32" t="str">
        <x:v>이현석</x:v>
      </x:c>
      <x:c r="E14" s="32" t="str">
        <x:v>유지</x:v>
      </x:c>
      <x:c r="F14" s="33"/>
      <x:c r="G14" s="33"/>
      <x:c r="H14" s="34" t="n">
        <x:f>IFERROR(G14/F14,0)</x:f>
        <x:v>0</x:v>
      </x:c>
      <x:c r="I14" s="35" t="str">
        <x:v>시도 확인 필요</x:v>
      </x:c>
    </x:row>
    <x:row r="15">
      <x:c r="A15" s="31" t="str">
        <x:v>서울특별시</x:v>
      </x:c>
      <x:c r="B15" s="32" t="str">
        <x:v>강서구</x:v>
      </x:c>
      <x:c r="C15" s="32" t="str">
        <x:v>이현석</x:v>
      </x:c>
      <x:c r="D15" s="32" t="str">
        <x:v>이현석</x:v>
      </x:c>
      <x:c r="E15" s="32" t="str">
        <x:v>유지</x:v>
      </x:c>
      <x:c r="F15" s="33" t="n">
        <x:v>1318664990</x:v>
      </x:c>
      <x:c r="G15" s="33" t="n">
        <x:v>56255470</x:v>
      </x:c>
      <x:c r="H15" s="34" t="n">
        <x:f>IFERROR(G15/F15,0)</x:f>
        <x:v>0.042660926335808765</x:v>
      </x:c>
      <x:c r="I15" s="35" t="str">
        <x:v>경인 데이터 기준 서울특별시 강서구 연결</x:v>
      </x:c>
    </x:row>
    <x:row r="16">
      <x:c r="A16" s="31" t="str">
        <x:v>서울특별시</x:v>
      </x:c>
      <x:c r="B16" s="32" t="str">
        <x:v>구로구</x:v>
      </x:c>
      <x:c r="C16" s="32" t="str">
        <x:v>이현석</x:v>
      </x:c>
      <x:c r="D16" s="32" t="str">
        <x:v>이현석</x:v>
      </x:c>
      <x:c r="E16" s="32" t="str">
        <x:v>유지</x:v>
      </x:c>
      <x:c r="F16" s="33" t="n">
        <x:v>570569800</x:v>
      </x:c>
      <x:c r="G16" s="33" t="n">
        <x:v>25855630</x:v>
      </x:c>
      <x:c r="H16" s="34" t="n">
        <x:f>IFERROR(G16/F16,0)</x:f>
        <x:v>0.045315454831293206</x:v>
      </x:c>
      <x:c r="I16" s="35" t="str">
        <x:v>연결 완료</x:v>
      </x:c>
    </x:row>
    <x:row r="17">
      <x:c r="A17" s="31" t="str">
        <x:v>서울특별시</x:v>
      </x:c>
      <x:c r="B17" s="32" t="str">
        <x:v>양천구</x:v>
      </x:c>
      <x:c r="C17" s="32" t="str">
        <x:v>이현석</x:v>
      </x:c>
      <x:c r="D17" s="32" t="str">
        <x:v>이현석</x:v>
      </x:c>
      <x:c r="E17" s="32" t="str">
        <x:v>유지</x:v>
      </x:c>
      <x:c r="F17" s="33" t="n">
        <x:v>246806480</x:v>
      </x:c>
      <x:c r="G17" s="33" t="n">
        <x:v>10342610</x:v>
      </x:c>
      <x:c r="H17" s="34" t="n">
        <x:f>IFERROR(G17/F17,0)</x:f>
        <x:v>0.04190574736935594</x:v>
      </x:c>
      <x:c r="I17" s="35" t="str">
        <x:v>연결 완료</x:v>
      </x:c>
    </x:row>
    <x:row r="18">
      <x:c r="A18" s="31" t="str">
        <x:v>인천광역시</x:v>
      </x:c>
      <x:c r="B18" s="32" t="str">
        <x:v>강화군</x:v>
      </x:c>
      <x:c r="C18" s="32" t="str">
        <x:v>이현석</x:v>
      </x:c>
      <x:c r="D18" s="32" t="str">
        <x:v>이현석</x:v>
      </x:c>
      <x:c r="E18" s="32" t="str">
        <x:v>유지</x:v>
      </x:c>
      <x:c r="F18" s="33" t="n">
        <x:v>24762000</x:v>
      </x:c>
      <x:c r="G18" s="33" t="n">
        <x:v>899570</x:v>
      </x:c>
      <x:c r="H18" s="34" t="n">
        <x:f>IFERROR(G18/F18,0)</x:f>
        <x:v>0.0363286487359664</x:v>
      </x:c>
      <x:c r="I18" s="35" t="str">
        <x:v>연결 완료</x:v>
      </x:c>
    </x:row>
    <x:row r="19">
      <x:c r="A19" s="31" t="str">
        <x:v>충청남도</x:v>
      </x:c>
      <x:c r="B19" s="32" t="str">
        <x:v>당진시</x:v>
      </x:c>
      <x:c r="C19" s="32" t="str">
        <x:v>이현석</x:v>
      </x:c>
      <x:c r="D19" s="32" t="str">
        <x:v>이현석</x:v>
      </x:c>
      <x:c r="E19" s="32" t="str">
        <x:v>유지</x:v>
      </x:c>
      <x:c r="F19" s="33" t="n">
        <x:v>161399000</x:v>
      </x:c>
      <x:c r="G19" s="33" t="n">
        <x:v>7247680</x:v>
      </x:c>
      <x:c r="H19" s="34" t="n">
        <x:f>IFERROR(G19/F19,0)</x:f>
        <x:v>0.04490535876926127</x:v>
      </x:c>
      <x:c r="I19" s="35" t="str">
        <x:v>연결 완료</x:v>
      </x:c>
    </x:row>
    <x:row r="20">
      <x:c r="A20" s="31" t="str">
        <x:v>충청남도</x:v>
      </x:c>
      <x:c r="B20" s="32" t="str">
        <x:v>서산시</x:v>
      </x:c>
      <x:c r="C20" s="32" t="str">
        <x:v>이현석</x:v>
      </x:c>
      <x:c r="D20" s="32" t="str">
        <x:v>이현석</x:v>
      </x:c>
      <x:c r="E20" s="32" t="str">
        <x:v>유지</x:v>
      </x:c>
      <x:c r="F20" s="33" t="n">
        <x:v>147494520</x:v>
      </x:c>
      <x:c r="G20" s="33" t="n">
        <x:v>6036350</x:v>
      </x:c>
      <x:c r="H20" s="34" t="n">
        <x:f>IFERROR(G20/F20,0)</x:f>
        <x:v>0.040925927281908504</x:v>
      </x:c>
      <x:c r="I20" s="35" t="str">
        <x:v>연결 완료</x:v>
      </x:c>
    </x:row>
    <x:row r="21">
      <x:c r="A21" s="31" t="str">
        <x:v>충청남도</x:v>
      </x:c>
      <x:c r="B21" s="32" t="str">
        <x:v>아산시</x:v>
      </x:c>
      <x:c r="C21" s="32" t="str">
        <x:v>이현석</x:v>
      </x:c>
      <x:c r="D21" s="32" t="str">
        <x:v>이현석</x:v>
      </x:c>
      <x:c r="E21" s="32" t="str">
        <x:v>유지</x:v>
      </x:c>
      <x:c r="F21" s="33" t="n">
        <x:v>851012740</x:v>
      </x:c>
      <x:c r="G21" s="33" t="n">
        <x:v>35585120</x:v>
      </x:c>
      <x:c r="H21" s="34" t="n">
        <x:f>IFERROR(G21/F21,0)</x:f>
        <x:v>0.041815026176928914</x:v>
      </x:c>
      <x:c r="I21" s="35" t="str">
        <x:v>연결 완료</x:v>
      </x:c>
    </x:row>
    <x:row r="22">
      <x:c r="A22" s="31" t="str">
        <x:v>충청남도</x:v>
      </x:c>
      <x:c r="B22" s="32" t="str">
        <x:v>천안시 동남구</x:v>
      </x:c>
      <x:c r="C22" s="32" t="str">
        <x:v>이현석</x:v>
      </x:c>
      <x:c r="D22" s="32" t="str">
        <x:v>이현석</x:v>
      </x:c>
      <x:c r="E22" s="32" t="str">
        <x:v>유지</x:v>
      </x:c>
      <x:c r="F22" s="33" t="n">
        <x:v>359754000</x:v>
      </x:c>
      <x:c r="G22" s="33" t="n">
        <x:v>14299870</x:v>
      </x:c>
      <x:c r="H22" s="34" t="n">
        <x:f>IFERROR(G22/F22,0)</x:f>
        <x:v>0.03974902294345581</x:v>
      </x:c>
      <x:c r="I22" s="35" t="str">
        <x:v>연결 완료</x:v>
      </x:c>
    </x:row>
    <x:row r="23">
      <x:c r="A23" s="31" t="str">
        <x:v>충청남도</x:v>
      </x:c>
      <x:c r="B23" s="32" t="str">
        <x:v>천안시 서북구</x:v>
      </x:c>
      <x:c r="C23" s="32" t="str">
        <x:v>이현석</x:v>
      </x:c>
      <x:c r="D23" s="32" t="str">
        <x:v>이현석</x:v>
      </x:c>
      <x:c r="E23" s="32" t="str">
        <x:v>유지</x:v>
      </x:c>
      <x:c r="F23" s="33" t="n">
        <x:v>1076612370</x:v>
      </x:c>
      <x:c r="G23" s="33" t="n">
        <x:v>41385280</x:v>
      </x:c>
      <x:c r="H23" s="34" t="n">
        <x:f>IFERROR(G23/F23,0)</x:f>
        <x:v>0.03844027911364236</x:v>
      </x:c>
      <x:c r="I23" s="35" t="str">
        <x:v>연결 완료</x:v>
      </x:c>
    </x:row>
    <x:row r="24">
      <x:c r="A24" s="31" t="str">
        <x:v>충청남도</x:v>
      </x:c>
      <x:c r="B24" s="32" t="str">
        <x:v>태안군</x:v>
      </x:c>
      <x:c r="C24" s="32" t="str">
        <x:v>이현석</x:v>
      </x:c>
      <x:c r="D24" s="32" t="str">
        <x:v>이현석</x:v>
      </x:c>
      <x:c r="E24" s="32" t="str">
        <x:v>유지</x:v>
      </x:c>
      <x:c r="F24" s="33" t="n">
        <x:v>18704000</x:v>
      </x:c>
      <x:c r="G24" s="33" t="n">
        <x:v>680770</x:v>
      </x:c>
      <x:c r="H24" s="34" t="n">
        <x:f>IFERROR(G24/F24,0)</x:f>
        <x:v>0.03639702737382378</x:v>
      </x:c>
      <x:c r="I24" s="35" t="str">
        <x:v>연결 완료</x:v>
      </x:c>
    </x:row>
    <x:row r="25">
      <x:c r="A25" s="31" t="str">
        <x:v>충청북도</x:v>
      </x:c>
      <x:c r="B25" s="32" t="str">
        <x:v>음성군</x:v>
      </x:c>
      <x:c r="C25" s="32" t="str">
        <x:v>이현석</x:v>
      </x:c>
      <x:c r="D25" s="32" t="str">
        <x:v>이현석</x:v>
      </x:c>
      <x:c r="E25" s="32" t="str">
        <x:v>유지</x:v>
      </x:c>
      <x:c r="F25" s="33" t="n">
        <x:v>165076440</x:v>
      </x:c>
      <x:c r="G25" s="33" t="n">
        <x:v>6595080</x:v>
      </x:c>
      <x:c r="H25" s="34" t="n">
        <x:f>IFERROR(G25/F25,0)</x:f>
        <x:v>0.03995167329753416</x:v>
      </x:c>
      <x:c r="I25" s="35" t="str">
        <x:v>연결 완료</x:v>
      </x:c>
    </x:row>
    <x:row r="26">
      <x:c r="A26" s="31" t="str">
        <x:v>충청북도</x:v>
      </x:c>
      <x:c r="B26" s="32" t="str">
        <x:v>진천군</x:v>
      </x:c>
      <x:c r="C26" s="32" t="str">
        <x:v>이현석</x:v>
      </x:c>
      <x:c r="D26" s="32" t="str">
        <x:v>이현석</x:v>
      </x:c>
      <x:c r="E26" s="32" t="str">
        <x:v>유지</x:v>
      </x:c>
      <x:c r="F26" s="33" t="n">
        <x:v>95614000</x:v>
      </x:c>
      <x:c r="G26" s="33" t="n">
        <x:v>4148640</x:v>
      </x:c>
      <x:c r="H26" s="34" t="n">
        <x:f>IFERROR(G26/F26,0)</x:f>
        <x:v>0.04338946179429791</x:v>
      </x:c>
      <x:c r="I26" s="35" t="str">
        <x:v>연결 완료</x:v>
      </x:c>
    </x:row>
    <x:row r="27">
      <x:c r="A27" s="36" t="str">
        <x:v>권역 합계</x:v>
      </x:c>
      <x:c r="B27" s="37"/>
      <x:c r="C27" s="37" t="str">
        <x:v>이현석</x:v>
      </x:c>
      <x:c r="D27" s="37" t="str">
        <x:v>-</x:v>
      </x:c>
      <x:c r="E27" s="37" t="str">
        <x:v>합계</x:v>
      </x:c>
      <x:c r="F27" s="38" t="n">
        <x:f>SUM(F9:F26)</x:f>
        <x:v>6426529860</x:v>
      </x:c>
      <x:c r="G27" s="38" t="n">
        <x:f>SUM(G9:G26)</x:f>
        <x:v>269615570</x:v>
      </x:c>
      <x:c r="H27" s="39" t="n">
        <x:f>IFERROR(G27/F27,0)</x:f>
        <x:v>0.041953523265820476</x:v>
      </x:c>
      <x:c r="I27" s="40" t="str">
        <x:v>현재 배정 기준</x:v>
      </x:c>
    </x:row>
  </x:sheetData>
  <x:mergeCells>
    <x:mergeCell ref="A1:I1"/>
    <x:mergeCell ref="A2:I2"/>
  </x:mergeCells>
  <x:conditionalFormatting sqref="E9:E26">
    <x:cfRule type="containsText" dxfId="6" priority="1" operator="containsText" text="변경"/>
  </x:conditionalFormatting>
  <x:pageMargins left="0.7" right="0.7" top="0.75" bottom="0.75" header="0.3" footer="0.3"/>
</x:worksheet>
</file>