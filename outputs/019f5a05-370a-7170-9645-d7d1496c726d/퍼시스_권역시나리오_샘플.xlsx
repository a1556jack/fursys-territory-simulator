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64f2f1edc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권역 요약" sheetId="1" r:id="R9927cb15c2fc4aa0"/>
    <x:sheet xmlns:r="http://schemas.openxmlformats.org/officeDocument/2006/relationships" name="지역별 상세" sheetId="2" r:id="R23d4209982a34ced"/>
    <x:sheet xmlns:r="http://schemas.openxmlformats.org/officeDocument/2006/relationships" name="미연결 데이터" sheetId="3" r:id="R98b9c7d61d6d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 hh:mm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68758A"/>
      <x:name val="Carlito"/>
    </x:font>
    <x:font>
      <x:b/>
      <x:sz val="11"/>
      <x:color rgb="FF247A4B"/>
      <x:name val="Carlito"/>
    </x:font>
    <x:font>
      <x:sz val="11"/>
      <x:color rgb="FF70430E"/>
      <x:name val="Carlito"/>
    </x:font>
    <x:font>
      <x:sz val="11"/>
      <x:color rgb="FF142033"/>
      <x:name val="Carlito"/>
    </x:font>
    <x:font>
      <x:b/>
      <x:sz val="11"/>
      <x:color rgb="FF183B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F2F5F8"/>
      </x:patternFill>
    </x:fill>
    <x:fill>
      <x:patternFill patternType="solid">
        <x:fgColor rgb="FFE7F5ED"/>
      </x:patternFill>
    </x:fill>
    <x:fill>
      <x:patternFill patternType="solid">
        <x:fgColor rgb="FFFFF8E8"/>
      </x:patternFill>
    </x:fill>
    <x:fill>
      <x:patternFill patternType="solid">
        <x:fgColor rgb="FFE9F0FF"/>
      </x:patternFill>
    </x:fill>
  </x:fills>
  <x:borders count="1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double">
        <x:color rgb="FF247A4B"/>
      </x:bottom>
    </x:border>
    <x:border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bottom style="thin">
        <x:color rgb="FFE7ECF1"/>
      </x:bottom>
    </x:border>
    <x:border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top style="thin">
        <x:color rgb="FFE7ECF1"/>
      </x:top>
      <x:bottom style="thin">
        <x:color rgb="FFE7ECF1"/>
      </x:bottom>
    </x:border>
    <x:border>
      <x:right style="thin">
        <x:color rgb="FFE7ECF1"/>
      </x:right>
      <x:top style="thin">
        <x:color rgb="FFE7ECF1"/>
      </x:top>
    </x:border>
    <x:border>
      <x:left style="thin">
        <x:color rgb="FFE7ECF1"/>
      </x:left>
      <x:right style="thin">
        <x:color rgb="FFE7ECF1"/>
      </x:right>
      <x:top style="thin">
        <x:color rgb="FFE7ECF1"/>
      </x:top>
    </x:border>
    <x:border>
      <x:left style="thin">
        <x:color rgb="FFE7ECF1"/>
      </x:left>
      <x:top style="thin">
        <x:color rgb="FFE7ECF1"/>
      </x:top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C9D8F4"/>
      </x:left>
      <x:right style="thin">
        <x:color rgb="FFC9D8F4"/>
      </x:right>
      <x:top style="thin">
        <x:color rgb="FFC9D8F4"/>
      </x:top>
      <x:bottom style="thin">
        <x:color rgb="FFC9D8F4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200" fontId="0" fillId="0" borderId="0" xfId="0" applyNumberFormat="1" applyFont="1" applyFill="1" applyBorder="1"/>
    <x:xf numFmtId="200" fontId="3" fillId="4" borderId="2" xfId="0" applyNumberFormat="1" applyFont="1" applyFill="1" applyBorder="1"/>
    <x:xf numFmtId="201" fontId="0" fillId="0" borderId="0" xfId="0" applyNumberFormat="1" applyFont="1" applyFill="1" applyBorder="1"/>
    <x:xf numFmtId="201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200" fontId="3" fillId="4" borderId="10" xfId="0" applyNumberFormat="1" applyFont="1" applyFill="1" applyBorder="1"/>
    <x:xf numFmtId="201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0" fontId="5" fillId="3" borderId="0" xfId="0" applyNumberFormat="1" applyFont="1" applyFill="1" applyBorder="1"/>
    <x:xf numFmtId="202" fontId="5" fillId="3" borderId="0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202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5" xfId="0" applyNumberFormat="1" applyFont="1" applyFill="1" applyBorder="1"/>
    <x:xf numFmtId="0" fontId="6" fillId="6" borderId="15" xfId="0" applyNumberFormat="1" applyFont="1" applyFill="1" applyBorder="1" applyAlignment="1">
      <x:alignment wrapText="1"/>
    </x:xf>
    <x:xf numFmtId="200" fontId="6" fillId="6" borderId="1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B8640A"/>
      </x:font>
      <x:fill>
        <x:patternFill patternType="solid">
          <x:bgColor rgb="FFFFF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e82119638485d" /><Relationship Type="http://schemas.openxmlformats.org/officeDocument/2006/relationships/theme" Target="/xl/theme/theme1.xml" Id="R7ecbca1e345d45f5" /><Relationship Type="http://schemas.openxmlformats.org/officeDocument/2006/relationships/sharedStrings" Target="/xl/sharedStrings.xml" Id="R3a3e59d45dfc4765" /><Relationship Type="http://schemas.openxmlformats.org/officeDocument/2006/relationships/worksheet" Target="/xl/worksheets/sheet1.xml" Id="R9927cb15c2fc4aa0" /><Relationship Type="http://schemas.openxmlformats.org/officeDocument/2006/relationships/worksheet" Target="/xl/worksheets/sheet2.xml" Id="R23d4209982a34ced" /><Relationship Type="http://schemas.openxmlformats.org/officeDocument/2006/relationships/worksheet" Target="/xl/worksheets/sheet3.xml" Id="R98b9c7d61d6d49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0" hidden="0" customWidth="1"/>
    <x:col min="5" max="5" width="11" hidden="0" customWidth="1"/>
    <x:col min="6" max="6" width="11" hidden="0" customWidth="1"/>
    <x:col min="7" max="7" width="19" hidden="0" customWidth="1"/>
    <x:col min="8" max="8" width="19" hidden="0" customWidth="1"/>
    <x:col min="9" max="9" width="17" hidden="0" customWidth="1"/>
    <x:col min="10" max="10" width="11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22" hidden="0" customWidth="1"/>
  </x:cols>
  <x:sheetData>
    <x:row r="1" ht="30" customHeight="1">
      <x:c r="A1" s="3" t="str">
        <x:v>퍼시스 권역 시나리오 결과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9" t="str">
        <x:v>시나리오</x:v>
      </x:c>
      <x:c r="B2" s="40" t="str">
        <x:v>강남구_이동_샘플</x:v>
      </x:c>
      <x:c r="C2" s="40" t="str">
        <x:v>내보낸 시각</x:v>
      </x:c>
      <x:c r="D2" s="41" t="n">
        <x:v>46218.364082395834</x:v>
      </x:c>
      <x:c r="E2" s="40" t="str">
        <x:v>기준</x:v>
      </x:c>
      <x:c r="F2" s="42" t="str">
        <x:v>2025년</x:v>
      </x:c>
    </x:row>
    <x:row r="4">
      <x:c r="A4" s="46" t="str">
        <x:v>지도 연결 시공결과금액</x:v>
      </x:c>
      <x:c r="B4" s="47" t="n">
        <x:f>SUM('지역별 상세'!$F$5:$F$254)</x:f>
        <x:v>46025290106</x:v>
      </x:c>
      <x:c r="C4" s="46" t="str">
        <x:v>미연결 시공결과금액</x:v>
      </x:c>
      <x:c r="D4" s="47" t="n">
        <x:f>SUM('미연결 데이터'!$B$5:$B$10)</x:f>
        <x:v>5188993102</x:v>
      </x:c>
      <x:c r="E4" s="46" t="str">
        <x:v>원본 전체 시공결과금액</x:v>
      </x:c>
      <x:c r="F4" s="47" t="n">
        <x:f>B4+D4</x:f>
        <x:v>51214283208</x:v>
      </x:c>
      <x:c r="G4" s="46" t="str">
        <x:v>원본 전체 정상시공비</x:v>
      </x:c>
      <x:c r="H4" s="47" t="n">
        <x:f>SUM('지역별 상세'!$G$5:$G$254)+SUM('미연결 데이터'!$C$5:$C$10)</x:f>
        <x:v>2205580383</x:v>
      </x:c>
    </x:row>
    <x:row r="5">
      <x:c r="A5" s="34" t="str">
        <x:v>기존 권역 매출액은 원본의 시공결과금액을 최초 권역 기준으로 집계한 값입니다. 미연결 동명 지역은 별도 시트에 보존됩니다.</x:v>
      </x:c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</x:row>
    <x:row r="7">
      <x:c r="A7" s="9" t="str">
        <x:v>현재 권역</x:v>
      </x:c>
      <x:c r="B7" s="9" t="str">
        <x:v>기존 권역</x:v>
      </x:c>
      <x:c r="C7" s="9" t="str">
        <x:v>권역 구분</x:v>
      </x:c>
      <x:c r="D7" s="9" t="str">
        <x:v>기존 지역수</x:v>
      </x:c>
      <x:c r="E7" s="9" t="str">
        <x:v>현재 지역수</x:v>
      </x:c>
      <x:c r="F7" s="9" t="str">
        <x:v>지역수 증감</x:v>
      </x:c>
      <x:c r="G7" s="9" t="str">
        <x:v>기존 권역 매출액</x:v>
      </x:c>
      <x:c r="H7" s="9" t="str">
        <x:v>현재 시공결과금액</x:v>
      </x:c>
      <x:c r="I7" s="9" t="str">
        <x:v>금액 증감</x:v>
      </x:c>
      <x:c r="J7" s="9" t="str">
        <x:v>증감률</x:v>
      </x:c>
      <x:c r="K7" s="9" t="str">
        <x:v>기존 정상시공비</x:v>
      </x:c>
      <x:c r="L7" s="9" t="str">
        <x:v>현재 정상시공비</x:v>
      </x:c>
      <x:c r="M7" s="9" t="str">
        <x:v>정상시공비 증감</x:v>
      </x:c>
      <x:c r="N7" s="9" t="str">
        <x:v>현재 정상시공비율</x:v>
      </x:c>
      <x:c r="O7" s="9" t="str">
        <x:v>권역ID</x:v>
      </x:c>
    </x:row>
    <x:row r="8">
      <x:c r="A8" s="17" t="str">
        <x:v>김용훈</x:v>
      </x:c>
      <x:c r="B8" s="18" t="str">
        <x:v>김용훈</x:v>
      </x:c>
      <x:c r="C8" s="18" t="str">
        <x:v>기존 권역</x:v>
      </x:c>
      <x:c r="D8" s="19" t="n">
        <x:f>COUNTIF('지역별 상세'!$K$5:$K$254,$O8)</x:f>
        <x:v>6</x:v>
      </x:c>
      <x:c r="E8" s="19" t="n">
        <x:f>COUNTIF('지역별 상세'!$J$5:$J$254,$O8)</x:f>
        <x:v>5</x:v>
      </x:c>
      <x:c r="F8" s="19" t="n">
        <x:f>E8-D8</x:f>
        <x:v>-1</x:v>
      </x:c>
      <x:c r="G8" s="19" t="n">
        <x:f>SUMIF('지역별 상세'!$K$5:$K$254,$O8,'지역별 상세'!$F$5:$F$254)</x:f>
        <x:v>10734568951</x:v>
      </x:c>
      <x:c r="H8" s="19" t="n">
        <x:f>SUMIF('지역별 상세'!$J$5:$J$254,$O8,'지역별 상세'!$F$5:$F$254)</x:f>
        <x:v>5039932723</x:v>
      </x:c>
      <x:c r="I8" s="19" t="n">
        <x:f>H8-G8</x:f>
        <x:v>-5694636228</x:v>
      </x:c>
      <x:c r="J8" s="20" t="n">
        <x:f>IFERROR(I8/G8,0)</x:f>
        <x:v>-0.5304950998958841</x:v>
      </x:c>
      <x:c r="K8" s="19" t="n">
        <x:f>SUMIF('지역별 상세'!$K$5:$K$254,$O8,'지역별 상세'!$G$5:$G$254)</x:f>
        <x:v>459085529</x:v>
      </x:c>
      <x:c r="L8" s="19" t="n">
        <x:f>SUMIF('지역별 상세'!$J$5:$J$254,$O8,'지역별 상세'!$G$5:$G$254)</x:f>
        <x:v>214432740</x:v>
      </x:c>
      <x:c r="M8" s="19" t="n">
        <x:f>L8-K8</x:f>
        <x:v>-244652789</x:v>
      </x:c>
      <x:c r="N8" s="20" t="n">
        <x:f>IFERROR(L8/H8,0)</x:f>
        <x:v>0.04254674651140179</x:v>
      </x:c>
      <x:c r="O8" s="21" t="str">
        <x:v>t_kim_yonghun</x:v>
      </x:c>
    </x:row>
    <x:row r="9">
      <x:c r="A9" s="22" t="str">
        <x:v>김정훈</x:v>
      </x:c>
      <x:c r="B9" s="23" t="str">
        <x:v>김정훈</x:v>
      </x:c>
      <x:c r="C9" s="23" t="str">
        <x:v>기존 권역</x:v>
      </x:c>
      <x:c r="D9" s="24" t="n">
        <x:f>COUNTIF('지역별 상세'!$K$5:$K$254,$O9)</x:f>
        <x:v>16</x:v>
      </x:c>
      <x:c r="E9" s="24" t="n">
        <x:f>COUNTIF('지역별 상세'!$J$5:$J$254,$O9)</x:f>
        <x:v>17</x:v>
      </x:c>
      <x:c r="F9" s="24" t="n">
        <x:f>E9-D9</x:f>
        <x:v>1</x:v>
      </x:c>
      <x:c r="G9" s="24" t="n">
        <x:f>SUMIF('지역별 상세'!$K$5:$K$254,$O9,'지역별 상세'!$F$5:$F$254)</x:f>
        <x:v>5938666060</x:v>
      </x:c>
      <x:c r="H9" s="24" t="n">
        <x:f>SUMIF('지역별 상세'!$J$5:$J$254,$O9,'지역별 상세'!$F$5:$F$254)</x:f>
        <x:v>11633302288</x:v>
      </x:c>
      <x:c r="I9" s="24" t="n">
        <x:f>H9-G9</x:f>
        <x:v>5694636228</x:v>
      </x:c>
      <x:c r="J9" s="25" t="n">
        <x:f>IFERROR(I9/G9,0)</x:f>
        <x:v>0.9589083087793625</x:v>
      </x:c>
      <x:c r="K9" s="24" t="n">
        <x:f>SUMIF('지역별 상세'!$K$5:$K$254,$O9,'지역별 상세'!$G$5:$G$254)</x:f>
        <x:v>260729524</x:v>
      </x:c>
      <x:c r="L9" s="24" t="n">
        <x:f>SUMIF('지역별 상세'!$J$5:$J$254,$O9,'지역별 상세'!$G$5:$G$254)</x:f>
        <x:v>505382313</x:v>
      </x:c>
      <x:c r="M9" s="24" t="n">
        <x:f>L9-K9</x:f>
        <x:v>244652789</x:v>
      </x:c>
      <x:c r="N9" s="25" t="n">
        <x:f>IFERROR(L9/H9,0)</x:f>
        <x:v>0.04344272163556797</x:v>
      </x:c>
      <x:c r="O9" s="26" t="str">
        <x:v>t_kim_jeonghun</x:v>
      </x:c>
    </x:row>
    <x:row r="10">
      <x:c r="A10" s="22" t="str">
        <x:v>김현섭</x:v>
      </x:c>
      <x:c r="B10" s="23" t="str">
        <x:v>김현섭</x:v>
      </x:c>
      <x:c r="C10" s="23" t="str">
        <x:v>기존 권역</x:v>
      </x:c>
      <x:c r="D10" s="24" t="n">
        <x:f>COUNTIF('지역별 상세'!$K$5:$K$254,$O10)</x:f>
        <x:v>8</x:v>
      </x:c>
      <x:c r="E10" s="24" t="n">
        <x:f>COUNTIF('지역별 상세'!$J$5:$J$254,$O10)</x:f>
        <x:v>8</x:v>
      </x:c>
      <x:c r="F10" s="24" t="n">
        <x:f>E10-D10</x:f>
        <x:v>0</x:v>
      </x:c>
      <x:c r="G10" s="24" t="n">
        <x:f>SUMIF('지역별 상세'!$K$5:$K$254,$O10,'지역별 상세'!$F$5:$F$254)</x:f>
        <x:v>4095806097</x:v>
      </x:c>
      <x:c r="H10" s="24" t="n">
        <x:f>SUMIF('지역별 상세'!$J$5:$J$254,$O10,'지역별 상세'!$F$5:$F$254)</x:f>
        <x:v>4095806097</x:v>
      </x:c>
      <x:c r="I10" s="24" t="n">
        <x:f>H10-G10</x:f>
        <x:v>0</x:v>
      </x:c>
      <x:c r="J10" s="25" t="n">
        <x:f>IFERROR(I10/G10,0)</x:f>
        <x:v>0</x:v>
      </x:c>
      <x:c r="K10" s="24" t="n">
        <x:f>SUMIF('지역별 상세'!$K$5:$K$254,$O10,'지역별 상세'!$G$5:$G$254)</x:f>
        <x:v>175583040</x:v>
      </x:c>
      <x:c r="L10" s="24" t="n">
        <x:f>SUMIF('지역별 상세'!$J$5:$J$254,$O10,'지역별 상세'!$G$5:$G$254)</x:f>
        <x:v>175583040</x:v>
      </x:c>
      <x:c r="M10" s="24" t="n">
        <x:f>L10-K10</x:f>
        <x:v>0</x:v>
      </x:c>
      <x:c r="N10" s="25" t="n">
        <x:f>IFERROR(L10/H10,0)</x:f>
        <x:v>0.04286898252546842</x:v>
      </x:c>
      <x:c r="O10" s="26" t="str">
        <x:v>t_kim_hyeonseop</x:v>
      </x:c>
    </x:row>
    <x:row r="11">
      <x:c r="A11" s="22" t="str">
        <x:v>손대만</x:v>
      </x:c>
      <x:c r="B11" s="23" t="str">
        <x:v>손대만</x:v>
      </x:c>
      <x:c r="C11" s="23" t="str">
        <x:v>기존 권역</x:v>
      </x:c>
      <x:c r="D11" s="24" t="n">
        <x:f>COUNTIF('지역별 상세'!$K$5:$K$254,$O11)</x:f>
        <x:v>7</x:v>
      </x:c>
      <x:c r="E11" s="24" t="n">
        <x:f>COUNTIF('지역별 상세'!$J$5:$J$254,$O11)</x:f>
        <x:v>7</x:v>
      </x:c>
      <x:c r="F11" s="24" t="n">
        <x:f>E11-D11</x:f>
        <x:v>0</x:v>
      </x:c>
      <x:c r="G11" s="24" t="n">
        <x:f>SUMIF('지역별 상세'!$K$5:$K$254,$O11,'지역별 상세'!$F$5:$F$254)</x:f>
        <x:v>5379685666</x:v>
      </x:c>
      <x:c r="H11" s="24" t="n">
        <x:f>SUMIF('지역별 상세'!$J$5:$J$254,$O11,'지역별 상세'!$F$5:$F$254)</x:f>
        <x:v>5379685666</x:v>
      </x:c>
      <x:c r="I11" s="24" t="n">
        <x:f>H11-G11</x:f>
        <x:v>0</x:v>
      </x:c>
      <x:c r="J11" s="25" t="n">
        <x:f>IFERROR(I11/G11,0)</x:f>
        <x:v>0</x:v>
      </x:c>
      <x:c r="K11" s="24" t="n">
        <x:f>SUMIF('지역별 상세'!$K$5:$K$254,$O11,'지역별 상세'!$G$5:$G$254)</x:f>
        <x:v>229559920</x:v>
      </x:c>
      <x:c r="L11" s="24" t="n">
        <x:f>SUMIF('지역별 상세'!$J$5:$J$254,$O11,'지역별 상세'!$G$5:$G$254)</x:f>
        <x:v>229559920</x:v>
      </x:c>
      <x:c r="M11" s="24" t="n">
        <x:f>L11-K11</x:f>
        <x:v>0</x:v>
      </x:c>
      <x:c r="N11" s="25" t="n">
        <x:f>IFERROR(L11/H11,0)</x:f>
        <x:v>0.04267162326059963</x:v>
      </x:c>
      <x:c r="O11" s="26" t="str">
        <x:v>t_son_daeman</x:v>
      </x:c>
    </x:row>
    <x:row r="12">
      <x:c r="A12" s="22" t="str">
        <x:v>신승현</x:v>
      </x:c>
      <x:c r="B12" s="23" t="str">
        <x:v>신승현</x:v>
      </x:c>
      <x:c r="C12" s="23" t="str">
        <x:v>기존 권역</x:v>
      </x:c>
      <x:c r="D12" s="24" t="n">
        <x:f>COUNTIF('지역별 상세'!$K$5:$K$254,$O12)</x:f>
        <x:v>40</x:v>
      </x:c>
      <x:c r="E12" s="24" t="n">
        <x:f>COUNTIF('지역별 상세'!$J$5:$J$254,$O12)</x:f>
        <x:v>40</x:v>
      </x:c>
      <x:c r="F12" s="24" t="n">
        <x:f>E12-D12</x:f>
        <x:v>0</x:v>
      </x:c>
      <x:c r="G12" s="24" t="n">
        <x:f>SUMIF('지역별 상세'!$K$5:$K$254,$O12,'지역별 상세'!$F$5:$F$254)</x:f>
        <x:v>10968340682</x:v>
      </x:c>
      <x:c r="H12" s="24" t="n">
        <x:f>SUMIF('지역별 상세'!$J$5:$J$254,$O12,'지역별 상세'!$F$5:$F$254)</x:f>
        <x:v>10968340682</x:v>
      </x:c>
      <x:c r="I12" s="24" t="n">
        <x:f>H12-G12</x:f>
        <x:v>0</x:v>
      </x:c>
      <x:c r="J12" s="25" t="n">
        <x:f>IFERROR(I12/G12,0)</x:f>
        <x:v>0</x:v>
      </x:c>
      <x:c r="K12" s="24" t="n">
        <x:f>SUMIF('지역별 상세'!$K$5:$K$254,$O12,'지역별 상세'!$G$5:$G$254)</x:f>
        <x:v>478926910</x:v>
      </x:c>
      <x:c r="L12" s="24" t="n">
        <x:f>SUMIF('지역별 상세'!$J$5:$J$254,$O12,'지역별 상세'!$G$5:$G$254)</x:f>
        <x:v>478926910</x:v>
      </x:c>
      <x:c r="M12" s="24" t="n">
        <x:f>L12-K12</x:f>
        <x:v>0</x:v>
      </x:c>
      <x:c r="N12" s="25" t="n">
        <x:f>IFERROR(L12/H12,0)</x:f>
        <x:v>0.043664481609872005</x:v>
      </x:c>
      <x:c r="O12" s="26" t="str">
        <x:v>t_shin_seunghyeon</x:v>
      </x:c>
    </x:row>
    <x:row r="13">
      <x:c r="A13" s="22" t="str">
        <x:v>이정일</x:v>
      </x:c>
      <x:c r="B13" s="23" t="str">
        <x:v>이정일</x:v>
      </x:c>
      <x:c r="C13" s="23" t="str">
        <x:v>기존 권역</x:v>
      </x:c>
      <x:c r="D13" s="24" t="n">
        <x:f>COUNTIF('지역별 상세'!$K$5:$K$254,$O13)</x:f>
        <x:v>4</x:v>
      </x:c>
      <x:c r="E13" s="24" t="n">
        <x:f>COUNTIF('지역별 상세'!$J$5:$J$254,$O13)</x:f>
        <x:v>4</x:v>
      </x:c>
      <x:c r="F13" s="24" t="n">
        <x:f>E13-D13</x:f>
        <x:v>0</x:v>
      </x:c>
      <x:c r="G13" s="24" t="n">
        <x:f>SUMIF('지역별 상세'!$K$5:$K$254,$O13,'지역별 상세'!$F$5:$F$254)</x:f>
        <x:v>3014936090</x:v>
      </x:c>
      <x:c r="H13" s="24" t="n">
        <x:f>SUMIF('지역별 상세'!$J$5:$J$254,$O13,'지역별 상세'!$F$5:$F$254)</x:f>
        <x:v>3014936090</x:v>
      </x:c>
      <x:c r="I13" s="24" t="n">
        <x:f>H13-G13</x:f>
        <x:v>0</x:v>
      </x:c>
      <x:c r="J13" s="25" t="n">
        <x:f>IFERROR(I13/G13,0)</x:f>
        <x:v>0</x:v>
      </x:c>
      <x:c r="K13" s="24" t="n">
        <x:f>SUMIF('지역별 상세'!$K$5:$K$254,$O13,'지역별 상세'!$G$5:$G$254)</x:f>
        <x:v>131531160</x:v>
      </x:c>
      <x:c r="L13" s="24" t="n">
        <x:f>SUMIF('지역별 상세'!$J$5:$J$254,$O13,'지역별 상세'!$G$5:$G$254)</x:f>
        <x:v>131531160</x:v>
      </x:c>
      <x:c r="M13" s="24" t="n">
        <x:f>L13-K13</x:f>
        <x:v>0</x:v>
      </x:c>
      <x:c r="N13" s="25" t="n">
        <x:f>IFERROR(L13/H13,0)</x:f>
        <x:v>0.0436265168061987</x:v>
      </x:c>
      <x:c r="O13" s="26" t="str">
        <x:v>t_lee_jeongil</x:v>
      </x:c>
    </x:row>
    <x:row r="14">
      <x:c r="A14" s="22" t="str">
        <x:v>이현석</x:v>
      </x:c>
      <x:c r="B14" s="23" t="str">
        <x:v>이현석</x:v>
      </x:c>
      <x:c r="C14" s="23" t="str">
        <x:v>기존 권역</x:v>
      </x:c>
      <x:c r="D14" s="24" t="n">
        <x:f>COUNTIF('지역별 상세'!$K$5:$K$254,$O14)</x:f>
        <x:v>18</x:v>
      </x:c>
      <x:c r="E14" s="24" t="n">
        <x:f>COUNTIF('지역별 상세'!$J$5:$J$254,$O14)</x:f>
        <x:v>18</x:v>
      </x:c>
      <x:c r="F14" s="24" t="n">
        <x:f>E14-D14</x:f>
        <x:v>0</x:v>
      </x:c>
      <x:c r="G14" s="24" t="n">
        <x:f>SUMIF('지역별 상세'!$K$5:$K$254,$O14,'지역별 상세'!$F$5:$F$254)</x:f>
        <x:v>5107864870</x:v>
      </x:c>
      <x:c r="H14" s="24" t="n">
        <x:f>SUMIF('지역별 상세'!$J$5:$J$254,$O14,'지역별 상세'!$F$5:$F$254)</x:f>
        <x:v>5107864870</x:v>
      </x:c>
      <x:c r="I14" s="24" t="n">
        <x:f>H14-G14</x:f>
        <x:v>0</x:v>
      </x:c>
      <x:c r="J14" s="25" t="n">
        <x:f>IFERROR(I14/G14,0)</x:f>
        <x:v>0</x:v>
      </x:c>
      <x:c r="K14" s="24" t="n">
        <x:f>SUMIF('지역별 상세'!$K$5:$K$254,$O14,'지역별 상세'!$G$5:$G$254)</x:f>
        <x:v>213360100</x:v>
      </x:c>
      <x:c r="L14" s="24" t="n">
        <x:f>SUMIF('지역별 상세'!$J$5:$J$254,$O14,'지역별 상세'!$G$5:$G$254)</x:f>
        <x:v>213360100</x:v>
      </x:c>
      <x:c r="M14" s="24" t="n">
        <x:f>L14-K14</x:f>
        <x:v>0</x:v>
      </x:c>
      <x:c r="N14" s="25" t="n">
        <x:f>IFERROR(L14/H14,0)</x:f>
        <x:v>0.041770897513974364</x:v>
      </x:c>
      <x:c r="O14" s="26" t="str">
        <x:v>t_lee_hyeonseok</x:v>
      </x:c>
    </x:row>
    <x:row r="15">
      <x:c r="A15" s="22" t="str">
        <x:v>미배정</x:v>
      </x:c>
      <x:c r="B15" s="23" t="str">
        <x:v>미배정</x:v>
      </x:c>
      <x:c r="C15" s="23" t="str">
        <x:v>미배정</x:v>
      </x:c>
      <x:c r="D15" s="24" t="n">
        <x:f>COUNTIF('지역별 상세'!$K$5:$K$254,$O15)</x:f>
        <x:v>151</x:v>
      </x:c>
      <x:c r="E15" s="24" t="n">
        <x:f>COUNTIF('지역별 상세'!$J$5:$J$254,$O15)</x:f>
        <x:v>151</x:v>
      </x:c>
      <x:c r="F15" s="24" t="n">
        <x:f>E15-D15</x:f>
        <x:v>0</x:v>
      </x:c>
      <x:c r="G15" s="24" t="n">
        <x:f>SUMIF('지역별 상세'!$K$5:$K$254,$O15,'지역별 상세'!$F$5:$F$254)</x:f>
        <x:v>785421690</x:v>
      </x:c>
      <x:c r="H15" s="24" t="n">
        <x:f>SUMIF('지역별 상세'!$J$5:$J$254,$O15,'지역별 상세'!$F$5:$F$254)</x:f>
        <x:v>785421690</x:v>
      </x:c>
      <x:c r="I15" s="24" t="n">
        <x:f>H15-G15</x:f>
        <x:v>0</x:v>
      </x:c>
      <x:c r="J15" s="25" t="n">
        <x:f>IFERROR(I15/G15,0)</x:f>
        <x:v>0</x:v>
      </x:c>
      <x:c r="K15" s="24" t="n">
        <x:f>SUMIF('지역별 상세'!$K$5:$K$254,$O15,'지역별 상세'!$G$5:$G$254)</x:f>
        <x:v>35592910</x:v>
      </x:c>
      <x:c r="L15" s="24" t="n">
        <x:f>SUMIF('지역별 상세'!$J$5:$J$254,$O15,'지역별 상세'!$G$5:$G$254)</x:f>
        <x:v>35592910</x:v>
      </x:c>
      <x:c r="M15" s="24" t="n">
        <x:f>L15-K15</x:f>
        <x:v>0</x:v>
      </x:c>
      <x:c r="N15" s="25" t="n">
        <x:f>IFERROR(L15/H15,0)</x:f>
        <x:v>0.04531694305513768</x:v>
      </x:c>
      <x:c r="O15" s="26" t="str">
        <x:v>unassigned</x:v>
      </x:c>
    </x:row>
    <x:row r="16">
      <x:c r="A16" s="27" t="str">
        <x:v>전체 합계</x:v>
      </x:c>
      <x:c r="B16" s="28" t="str">
        <x:v>-</x:v>
      </x:c>
      <x:c r="C16" s="28" t="str">
        <x:v>합계</x:v>
      </x:c>
      <x:c r="D16" s="29" t="n">
        <x:f>SUM(D8:D15)</x:f>
        <x:v>250</x:v>
      </x:c>
      <x:c r="E16" s="29" t="n">
        <x:f>SUM(E8:E15)</x:f>
        <x:v>250</x:v>
      </x:c>
      <x:c r="F16" s="29" t="n">
        <x:f>E16-D16</x:f>
        <x:v>0</x:v>
      </x:c>
      <x:c r="G16" s="29" t="n">
        <x:f>SUM(G8:G15)</x:f>
        <x:v>46025290106</x:v>
      </x:c>
      <x:c r="H16" s="29" t="n">
        <x:f>SUM(H8:H15)</x:f>
        <x:v>46025290106</x:v>
      </x:c>
      <x:c r="I16" s="29" t="n">
        <x:f>H16-G16</x:f>
        <x:v>0</x:v>
      </x:c>
      <x:c r="J16" s="30" t="n">
        <x:f>IFERROR(I16/G16,0)</x:f>
        <x:v>0</x:v>
      </x:c>
      <x:c r="K16" s="29" t="n">
        <x:f>SUM(K8:K15)</x:f>
        <x:v>1984369093</x:v>
      </x:c>
      <x:c r="L16" s="29" t="n">
        <x:f>SUM(L8:L15)</x:f>
        <x:v>1984369093</x:v>
      </x:c>
      <x:c r="M16" s="29" t="n">
        <x:f>L16-K16</x:f>
        <x:v>0</x:v>
      </x:c>
      <x:c r="N16" s="30" t="n">
        <x:f>IFERROR(L16/H16,0)</x:f>
        <x:v>0.04311475470181363</x:v>
      </x:c>
      <x:c r="O16" s="31" t="str">
        <x:v>TOTAL</x:v>
      </x:c>
    </x:row>
  </x:sheetData>
  <x:mergeCells>
    <x:mergeCell ref="A1:O1"/>
    <x:mergeCell ref="A5:O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23" hidden="0" customWidth="1"/>
    <x:col min="10" max="10" width="22" hidden="0" customWidth="1"/>
    <x:col min="11" max="11" width="22" hidden="0" customWidth="1"/>
  </x:cols>
  <x:sheetData>
    <x:row r="1">
      <x:c r="A1" s="3" t="str">
        <x:v>지역별 권역 배정 및 시공 금액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금액이 없는 지역은 원본 데이터가 연결되지 않은 지역입니다. 변경여부는 최초 권역과 현재 시나리오 권역을 비교합니다.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9" t="str">
        <x:v>현재 권역</x:v>
      </x:c>
      <x:c r="B4" s="9" t="str">
        <x:v>기존 권역</x:v>
      </x:c>
      <x:c r="C4" s="9" t="str">
        <x:v>변경여부</x:v>
      </x:c>
      <x:c r="D4" s="9" t="str">
        <x:v>시도</x:v>
      </x:c>
      <x:c r="E4" s="9" t="str">
        <x:v>시군구</x:v>
      </x:c>
      <x:c r="F4" s="9" t="str">
        <x:v>시공결과금액</x:v>
      </x:c>
      <x:c r="G4" s="9" t="str">
        <x:v>정상시공비</x:v>
      </x:c>
      <x:c r="H4" s="9" t="str">
        <x:v>정상시공비율</x:v>
      </x:c>
      <x:c r="I4" s="9" t="str">
        <x:v>데이터상태</x:v>
      </x:c>
      <x:c r="J4" s="9" t="str">
        <x:v>현재권역ID</x:v>
      </x:c>
      <x:c r="K4" s="9" t="str">
        <x:v>기존권역ID</x:v>
      </x:c>
    </x:row>
    <x:row r="5">
      <x:c r="A5" s="17" t="str">
        <x:v>김용훈</x:v>
      </x:c>
      <x:c r="B5" s="18" t="str">
        <x:v>김용훈</x:v>
      </x:c>
      <x:c r="C5" s="18" t="str">
        <x:v>유지</x:v>
      </x:c>
      <x:c r="D5" s="18" t="str">
        <x:v>경기도</x:v>
      </x:c>
      <x:c r="E5" s="18" t="str">
        <x:v>과천시</x:v>
      </x:c>
      <x:c r="F5" s="19" t="n">
        <x:v>477235960</x:v>
      </x:c>
      <x:c r="G5" s="19" t="n">
        <x:v>20500820</x:v>
      </x:c>
      <x:c r="H5" s="20" t="n">
        <x:f>IFERROR(G5/F5,0)</x:f>
        <x:v>0.04295740832270896</x:v>
      </x:c>
      <x:c r="I5" s="18" t="str">
        <x:v>연결 완료</x:v>
      </x:c>
      <x:c r="J5" s="18" t="str">
        <x:v>t_kim_yonghun</x:v>
      </x:c>
      <x:c r="K5" s="21" t="str">
        <x:v>t_kim_yonghun</x:v>
      </x:c>
    </x:row>
    <x:row r="6">
      <x:c r="A6" s="22" t="str">
        <x:v>김용훈</x:v>
      </x:c>
      <x:c r="B6" s="23" t="str">
        <x:v>김용훈</x:v>
      </x:c>
      <x:c r="C6" s="23" t="str">
        <x:v>유지</x:v>
      </x:c>
      <x:c r="D6" s="23" t="str">
        <x:v>경기도</x:v>
      </x:c>
      <x:c r="E6" s="23" t="str">
        <x:v>광명시</x:v>
      </x:c>
      <x:c r="F6" s="24" t="n">
        <x:v>167294840</x:v>
      </x:c>
      <x:c r="G6" s="24" t="n">
        <x:v>6929540</x:v>
      </x:c>
      <x:c r="H6" s="25" t="n">
        <x:f>IFERROR(G6/F6,0)</x:f>
        <x:v>0.0414211221338327</x:v>
      </x:c>
      <x:c r="I6" s="23" t="str">
        <x:v>연결 완료</x:v>
      </x:c>
      <x:c r="J6" s="23" t="str">
        <x:v>t_kim_yonghun</x:v>
      </x:c>
      <x:c r="K6" s="26" t="str">
        <x:v>t_kim_yonghun</x:v>
      </x:c>
    </x:row>
    <x:row r="7">
      <x:c r="A7" s="22" t="str">
        <x:v>김용훈</x:v>
      </x:c>
      <x:c r="B7" s="23" t="str">
        <x:v>김용훈</x:v>
      </x:c>
      <x:c r="C7" s="23" t="str">
        <x:v>유지</x:v>
      </x:c>
      <x:c r="D7" s="23" t="str">
        <x:v>서울특별시</x:v>
      </x:c>
      <x:c r="E7" s="23" t="str">
        <x:v>관악구</x:v>
      </x:c>
      <x:c r="F7" s="24" t="n">
        <x:v>907820633</x:v>
      </x:c>
      <x:c r="G7" s="24" t="n">
        <x:v>39011190</x:v>
      </x:c>
      <x:c r="H7" s="25" t="n">
        <x:f>IFERROR(G7/F7,0)</x:f>
        <x:v>0.04297235442984253</x:v>
      </x:c>
      <x:c r="I7" s="23" t="str">
        <x:v>연결 완료</x:v>
      </x:c>
      <x:c r="J7" s="23" t="str">
        <x:v>t_kim_yonghun</x:v>
      </x:c>
      <x:c r="K7" s="26" t="str">
        <x:v>t_kim_yonghun</x:v>
      </x:c>
    </x:row>
    <x:row r="8">
      <x:c r="A8" s="22" t="str">
        <x:v>김용훈</x:v>
      </x:c>
      <x:c r="B8" s="23" t="str">
        <x:v>김용훈</x:v>
      </x:c>
      <x:c r="C8" s="23" t="str">
        <x:v>유지</x:v>
      </x:c>
      <x:c r="D8" s="23" t="str">
        <x:v>서울특별시</x:v>
      </x:c>
      <x:c r="E8" s="23" t="str">
        <x:v>금천구</x:v>
      </x:c>
      <x:c r="F8" s="24" t="n">
        <x:v>722676520</x:v>
      </x:c>
      <x:c r="G8" s="24" t="n">
        <x:v>31195390</x:v>
      </x:c>
      <x:c r="H8" s="25" t="n">
        <x:f>IFERROR(G8/F8,0)</x:f>
        <x:v>0.04316646402182819</x:v>
      </x:c>
      <x:c r="I8" s="23" t="str">
        <x:v>연결 완료</x:v>
      </x:c>
      <x:c r="J8" s="23" t="str">
        <x:v>t_kim_yonghun</x:v>
      </x:c>
      <x:c r="K8" s="26" t="str">
        <x:v>t_kim_yonghun</x:v>
      </x:c>
    </x:row>
    <x:row r="9">
      <x:c r="A9" s="22" t="str">
        <x:v>김용훈</x:v>
      </x:c>
      <x:c r="B9" s="23" t="str">
        <x:v>김용훈</x:v>
      </x:c>
      <x:c r="C9" s="23" t="str">
        <x:v>유지</x:v>
      </x:c>
      <x:c r="D9" s="23" t="str">
        <x:v>서울특별시</x:v>
      </x:c>
      <x:c r="E9" s="23" t="str">
        <x:v>서초구</x:v>
      </x:c>
      <x:c r="F9" s="24" t="n">
        <x:v>2764904770</x:v>
      </x:c>
      <x:c r="G9" s="24" t="n">
        <x:v>116795800</x:v>
      </x:c>
      <x:c r="H9" s="25" t="n">
        <x:f>IFERROR(G9/F9,0)</x:f>
        <x:v>0.04224225053508805</x:v>
      </x:c>
      <x:c r="I9" s="23" t="str">
        <x:v>연결 완료</x:v>
      </x:c>
      <x:c r="J9" s="23" t="str">
        <x:v>t_kim_yonghun</x:v>
      </x:c>
      <x:c r="K9" s="26" t="str">
        <x:v>t_kim_yonghun</x:v>
      </x:c>
    </x:row>
    <x:row r="10">
      <x:c r="A10" s="22" t="str">
        <x:v>김정훈</x:v>
      </x:c>
      <x:c r="B10" s="23" t="str">
        <x:v>김정훈</x:v>
      </x:c>
      <x:c r="C10" s="23" t="str">
        <x:v>유지</x:v>
      </x:c>
      <x:c r="D10" s="23" t="str">
        <x:v>강원특별자치도</x:v>
      </x:c>
      <x:c r="E10" s="23" t="str">
        <x:v>철원군</x:v>
      </x:c>
      <x:c r="F10" s="24" t="n">
        <x:v>398000</x:v>
      </x:c>
      <x:c r="G10" s="24" t="n">
        <x:v>20710</x:v>
      </x:c>
      <x:c r="H10" s="25" t="n">
        <x:f>IFERROR(G10/F10,0)</x:f>
        <x:v>0.05203517587939698</x:v>
      </x:c>
      <x:c r="I10" s="23" t="str">
        <x:v>연결 완료</x:v>
      </x:c>
      <x:c r="J10" s="23" t="str">
        <x:v>t_kim_jeonghun</x:v>
      </x:c>
      <x:c r="K10" s="26" t="str">
        <x:v>t_kim_jeonghun</x:v>
      </x:c>
    </x:row>
    <x:row r="11">
      <x:c r="A11" s="22" t="str">
        <x:v>김정훈</x:v>
      </x:c>
      <x:c r="B11" s="23" t="str">
        <x:v>김정훈</x:v>
      </x:c>
      <x:c r="C11" s="23" t="str">
        <x:v>유지</x:v>
      </x:c>
      <x:c r="D11" s="23" t="str">
        <x:v>경기도</x:v>
      </x:c>
      <x:c r="E11" s="23" t="str">
        <x:v>동두천시</x:v>
      </x:c>
      <x:c r="F11" s="24" t="n">
        <x:v>26701000</x:v>
      </x:c>
      <x:c r="G11" s="24" t="n">
        <x:v>1123590</x:v>
      </x:c>
      <x:c r="H11" s="25" t="n">
        <x:f>IFERROR(G11/F11,0)</x:f>
        <x:v>0.04208044642522752</x:v>
      </x:c>
      <x:c r="I11" s="23" t="str">
        <x:v>연결 완료</x:v>
      </x:c>
      <x:c r="J11" s="23" t="str">
        <x:v>t_kim_jeonghun</x:v>
      </x:c>
      <x:c r="K11" s="26" t="str">
        <x:v>t_kim_jeonghun</x:v>
      </x:c>
    </x:row>
    <x:row r="12">
      <x:c r="A12" s="22" t="str">
        <x:v>김정훈</x:v>
      </x:c>
      <x:c r="B12" s="23" t="str">
        <x:v>김정훈</x:v>
      </x:c>
      <x:c r="C12" s="23" t="str">
        <x:v>유지</x:v>
      </x:c>
      <x:c r="D12" s="23" t="str">
        <x:v>경기도</x:v>
      </x:c>
      <x:c r="E12" s="23" t="str">
        <x:v>양주시</x:v>
      </x:c>
      <x:c r="F12" s="24" t="n">
        <x:v>90628000</x:v>
      </x:c>
      <x:c r="G12" s="24" t="n">
        <x:v>4032120</x:v>
      </x:c>
      <x:c r="H12" s="25" t="n">
        <x:f>IFERROR(G12/F12,0)</x:f>
        <x:v>0.0444908858189522</x:v>
      </x:c>
      <x:c r="I12" s="23" t="str">
        <x:v>연결 완료</x:v>
      </x:c>
      <x:c r="J12" s="23" t="str">
        <x:v>t_kim_jeonghun</x:v>
      </x:c>
      <x:c r="K12" s="26" t="str">
        <x:v>t_kim_jeonghun</x:v>
      </x:c>
    </x:row>
    <x:row r="13">
      <x:c r="A13" s="22" t="str">
        <x:v>김정훈</x:v>
      </x:c>
      <x:c r="B13" s="23" t="str">
        <x:v>김정훈</x:v>
      </x:c>
      <x:c r="C13" s="23" t="str">
        <x:v>유지</x:v>
      </x:c>
      <x:c r="D13" s="23" t="str">
        <x:v>경기도</x:v>
      </x:c>
      <x:c r="E13" s="23" t="str">
        <x:v>연천군</x:v>
      </x:c>
      <x:c r="F13" s="24" t="n">
        <x:v>3384500</x:v>
      </x:c>
      <x:c r="G13" s="24" t="n">
        <x:v>208980</x:v>
      </x:c>
      <x:c r="H13" s="25" t="n">
        <x:f>IFERROR(G13/F13,0)</x:f>
        <x:v>0.06174619589304181</x:v>
      </x:c>
      <x:c r="I13" s="23" t="str">
        <x:v>연결 완료</x:v>
      </x:c>
      <x:c r="J13" s="23" t="str">
        <x:v>t_kim_jeonghun</x:v>
      </x:c>
      <x:c r="K13" s="26" t="str">
        <x:v>t_kim_jeonghun</x:v>
      </x:c>
    </x:row>
    <x:row r="14">
      <x:c r="A14" s="22" t="str">
        <x:v>김정훈</x:v>
      </x:c>
      <x:c r="B14" s="23" t="str">
        <x:v>김정훈</x:v>
      </x:c>
      <x:c r="C14" s="23" t="str">
        <x:v>유지</x:v>
      </x:c>
      <x:c r="D14" s="23" t="str">
        <x:v>경기도</x:v>
      </x:c>
      <x:c r="E14" s="23" t="str">
        <x:v>의정부시</x:v>
      </x:c>
      <x:c r="F14" s="24" t="n">
        <x:v>138735310</x:v>
      </x:c>
      <x:c r="G14" s="24" t="n">
        <x:v>6558410</x:v>
      </x:c>
      <x:c r="H14" s="25" t="n">
        <x:f>IFERROR(G14/F14,0)</x:f>
        <x:v>0.04727282477690791</x:v>
      </x:c>
      <x:c r="I14" s="23" t="str">
        <x:v>연결 완료</x:v>
      </x:c>
      <x:c r="J14" s="23" t="str">
        <x:v>t_kim_jeonghun</x:v>
      </x:c>
      <x:c r="K14" s="26" t="str">
        <x:v>t_kim_jeonghun</x:v>
      </x:c>
    </x:row>
    <x:row r="15">
      <x:c r="A15" s="22" t="str">
        <x:v>김정훈</x:v>
      </x:c>
      <x:c r="B15" s="23" t="str">
        <x:v>김정훈</x:v>
      </x:c>
      <x:c r="C15" s="23" t="str">
        <x:v>유지</x:v>
      </x:c>
      <x:c r="D15" s="23" t="str">
        <x:v>경기도</x:v>
      </x:c>
      <x:c r="E15" s="23" t="str">
        <x:v>포천시</x:v>
      </x:c>
      <x:c r="F15" s="24" t="n">
        <x:v>76570600</x:v>
      </x:c>
      <x:c r="G15" s="24" t="n">
        <x:v>3196010</x:v>
      </x:c>
      <x:c r="H15" s="25" t="n">
        <x:f>IFERROR(G15/F15,0)</x:f>
        <x:v>0.041739388224723326</x:v>
      </x:c>
      <x:c r="I15" s="23" t="str">
        <x:v>연결 완료</x:v>
      </x:c>
      <x:c r="J15" s="23" t="str">
        <x:v>t_kim_jeonghun</x:v>
      </x:c>
      <x:c r="K15" s="26" t="str">
        <x:v>t_kim_jeonghun</x:v>
      </x:c>
    </x:row>
    <x:row r="16">
      <x:c r="A16" s="22" t="str">
        <x:v>김정훈</x:v>
      </x:c>
      <x:c r="B16" s="23" t="str">
        <x:v>김용훈</x:v>
      </x:c>
      <x:c r="C16" s="23" t="str">
        <x:v>변경</x:v>
      </x:c>
      <x:c r="D16" s="23" t="str">
        <x:v>서울특별시</x:v>
      </x:c>
      <x:c r="E16" s="23" t="str">
        <x:v>강남구</x:v>
      </x:c>
      <x:c r="F16" s="24" t="n">
        <x:v>5694636228</x:v>
      </x:c>
      <x:c r="G16" s="24" t="n">
        <x:v>244652789</x:v>
      </x:c>
      <x:c r="H16" s="25" t="n">
        <x:f>IFERROR(G16/F16,0)</x:f>
        <x:v>0.04296196968597658</x:v>
      </x:c>
      <x:c r="I16" s="23" t="str">
        <x:v>연결 완료</x:v>
      </x:c>
      <x:c r="J16" s="23" t="str">
        <x:v>t_kim_jeonghun</x:v>
      </x:c>
      <x:c r="K16" s="26" t="str">
        <x:v>t_kim_yonghun</x:v>
      </x:c>
    </x:row>
    <x:row r="17">
      <x:c r="A17" s="22" t="str">
        <x:v>김정훈</x:v>
      </x:c>
      <x:c r="B17" s="23" t="str">
        <x:v>김정훈</x:v>
      </x:c>
      <x:c r="C17" s="23" t="str">
        <x:v>유지</x:v>
      </x:c>
      <x:c r="D17" s="23" t="str">
        <x:v>서울특별시</x:v>
      </x:c>
      <x:c r="E17" s="23" t="str">
        <x:v>강북구</x:v>
      </x:c>
      <x:c r="F17" s="24" t="n">
        <x:v>65104700</x:v>
      </x:c>
      <x:c r="G17" s="24" t="n">
        <x:v>3149010</x:v>
      </x:c>
      <x:c r="H17" s="25" t="n">
        <x:f>IFERROR(G17/F17,0)</x:f>
        <x:v>0.04836839736608878</x:v>
      </x:c>
      <x:c r="I17" s="23" t="str">
        <x:v>연결 완료</x:v>
      </x:c>
      <x:c r="J17" s="23" t="str">
        <x:v>t_kim_jeonghun</x:v>
      </x:c>
      <x:c r="K17" s="26" t="str">
        <x:v>t_kim_jeonghun</x:v>
      </x:c>
    </x:row>
    <x:row r="18">
      <x:c r="A18" s="22" t="str">
        <x:v>김정훈</x:v>
      </x:c>
      <x:c r="B18" s="23" t="str">
        <x:v>김정훈</x:v>
      </x:c>
      <x:c r="C18" s="23" t="str">
        <x:v>유지</x:v>
      </x:c>
      <x:c r="D18" s="23" t="str">
        <x:v>서울특별시</x:v>
      </x:c>
      <x:c r="E18" s="23" t="str">
        <x:v>노원구</x:v>
      </x:c>
      <x:c r="F18" s="24" t="n">
        <x:v>206213230</x:v>
      </x:c>
      <x:c r="G18" s="24" t="n">
        <x:v>9326240</x:v>
      </x:c>
      <x:c r="H18" s="25" t="n">
        <x:f>IFERROR(G18/F18,0)</x:f>
        <x:v>0.04522619620477309</x:v>
      </x:c>
      <x:c r="I18" s="23" t="str">
        <x:v>연결 완료</x:v>
      </x:c>
      <x:c r="J18" s="23" t="str">
        <x:v>t_kim_jeonghun</x:v>
      </x:c>
      <x:c r="K18" s="26" t="str">
        <x:v>t_kim_jeonghun</x:v>
      </x:c>
    </x:row>
    <x:row r="19">
      <x:c r="A19" s="22" t="str">
        <x:v>김정훈</x:v>
      </x:c>
      <x:c r="B19" s="23" t="str">
        <x:v>김정훈</x:v>
      </x:c>
      <x:c r="C19" s="23" t="str">
        <x:v>유지</x:v>
      </x:c>
      <x:c r="D19" s="23" t="str">
        <x:v>서울특별시</x:v>
      </x:c>
      <x:c r="E19" s="23" t="str">
        <x:v>도봉구</x:v>
      </x:c>
      <x:c r="F19" s="24" t="n">
        <x:v>64057000</x:v>
      </x:c>
      <x:c r="G19" s="24" t="n">
        <x:v>3002400</x:v>
      </x:c>
      <x:c r="H19" s="25" t="n">
        <x:f>IFERROR(G19/F19,0)</x:f>
        <x:v>0.04687075573317514</x:v>
      </x:c>
      <x:c r="I19" s="23" t="str">
        <x:v>연결 완료</x:v>
      </x:c>
      <x:c r="J19" s="23" t="str">
        <x:v>t_kim_jeonghun</x:v>
      </x:c>
      <x:c r="K19" s="26" t="str">
        <x:v>t_kim_jeonghun</x:v>
      </x:c>
    </x:row>
    <x:row r="20">
      <x:c r="A20" s="22" t="str">
        <x:v>김정훈</x:v>
      </x:c>
      <x:c r="B20" s="23" t="str">
        <x:v>김정훈</x:v>
      </x:c>
      <x:c r="C20" s="23" t="str">
        <x:v>유지</x:v>
      </x:c>
      <x:c r="D20" s="23" t="str">
        <x:v>서울특별시</x:v>
      </x:c>
      <x:c r="E20" s="23" t="str">
        <x:v>동대문구</x:v>
      </x:c>
      <x:c r="F20" s="24" t="n">
        <x:v>460908200</x:v>
      </x:c>
      <x:c r="G20" s="24" t="n">
        <x:v>20306630</x:v>
      </x:c>
      <x:c r="H20" s="25" t="n">
        <x:f>IFERROR(G20/F20,0)</x:f>
        <x:v>0.0440578622814695</x:v>
      </x:c>
      <x:c r="I20" s="23" t="str">
        <x:v>연결 완료</x:v>
      </x:c>
      <x:c r="J20" s="23" t="str">
        <x:v>t_kim_jeonghun</x:v>
      </x:c>
      <x:c r="K20" s="26" t="str">
        <x:v>t_kim_jeonghun</x:v>
      </x:c>
    </x:row>
    <x:row r="21">
      <x:c r="A21" s="22" t="str">
        <x:v>김정훈</x:v>
      </x:c>
      <x:c r="B21" s="23" t="str">
        <x:v>김정훈</x:v>
      </x:c>
      <x:c r="C21" s="23" t="str">
        <x:v>유지</x:v>
      </x:c>
      <x:c r="D21" s="23" t="str">
        <x:v>서울특별시</x:v>
      </x:c>
      <x:c r="E21" s="23" t="str">
        <x:v>서대문구</x:v>
      </x:c>
      <x:c r="F21" s="24" t="n">
        <x:v>1094587890</x:v>
      </x:c>
      <x:c r="G21" s="24" t="n">
        <x:v>50079224</x:v>
      </x:c>
      <x:c r="H21" s="25" t="n">
        <x:f>IFERROR(G21/F21,0)</x:f>
        <x:v>0.04575167006461217</x:v>
      </x:c>
      <x:c r="I21" s="23" t="str">
        <x:v>연결 완료</x:v>
      </x:c>
      <x:c r="J21" s="23" t="str">
        <x:v>t_kim_jeonghun</x:v>
      </x:c>
      <x:c r="K21" s="26" t="str">
        <x:v>t_kim_jeonghun</x:v>
      </x:c>
    </x:row>
    <x:row r="22">
      <x:c r="A22" s="22" t="str">
        <x:v>김정훈</x:v>
      </x:c>
      <x:c r="B22" s="23" t="str">
        <x:v>김정훈</x:v>
      </x:c>
      <x:c r="C22" s="23" t="str">
        <x:v>유지</x:v>
      </x:c>
      <x:c r="D22" s="23" t="str">
        <x:v>서울특별시</x:v>
      </x:c>
      <x:c r="E22" s="23" t="str">
        <x:v>성북구</x:v>
      </x:c>
      <x:c r="F22" s="24" t="n">
        <x:v>745489300</x:v>
      </x:c>
      <x:c r="G22" s="24" t="n">
        <x:v>32886280</x:v>
      </x:c>
      <x:c r="H22" s="25" t="n">
        <x:f>IFERROR(G22/F22,0)</x:f>
        <x:v>0.0441136847973539</x:v>
      </x:c>
      <x:c r="I22" s="23" t="str">
        <x:v>연결 완료</x:v>
      </x:c>
      <x:c r="J22" s="23" t="str">
        <x:v>t_kim_jeonghun</x:v>
      </x:c>
      <x:c r="K22" s="26" t="str">
        <x:v>t_kim_jeonghun</x:v>
      </x:c>
    </x:row>
    <x:row r="23">
      <x:c r="A23" s="22" t="str">
        <x:v>김정훈</x:v>
      </x:c>
      <x:c r="B23" s="23" t="str">
        <x:v>김정훈</x:v>
      </x:c>
      <x:c r="C23" s="23" t="str">
        <x:v>유지</x:v>
      </x:c>
      <x:c r="D23" s="23" t="str">
        <x:v>서울특별시</x:v>
      </x:c>
      <x:c r="E23" s="23" t="str">
        <x:v>용산구</x:v>
      </x:c>
      <x:c r="F23" s="24" t="n">
        <x:v>748693590</x:v>
      </x:c>
      <x:c r="G23" s="24" t="n">
        <x:v>33802980</x:v>
      </x:c>
      <x:c r="H23" s="25" t="n">
        <x:f>IFERROR(G23/F23,0)</x:f>
        <x:v>0.04514928463592162</x:v>
      </x:c>
      <x:c r="I23" s="23" t="str">
        <x:v>연결 완료</x:v>
      </x:c>
      <x:c r="J23" s="23" t="str">
        <x:v>t_kim_jeonghun</x:v>
      </x:c>
      <x:c r="K23" s="26" t="str">
        <x:v>t_kim_jeonghun</x:v>
      </x:c>
    </x:row>
    <x:row r="24">
      <x:c r="A24" s="22" t="str">
        <x:v>김정훈</x:v>
      </x:c>
      <x:c r="B24" s="23" t="str">
        <x:v>김정훈</x:v>
      </x:c>
      <x:c r="C24" s="23" t="str">
        <x:v>유지</x:v>
      </x:c>
      <x:c r="D24" s="23" t="str">
        <x:v>서울특별시</x:v>
      </x:c>
      <x:c r="E24" s="23" t="str">
        <x:v>은평구</x:v>
      </x:c>
      <x:c r="F24" s="24" t="n">
        <x:v>136969800</x:v>
      </x:c>
      <x:c r="G24" s="24" t="n">
        <x:v>6069060</x:v>
      </x:c>
      <x:c r="H24" s="25" t="n">
        <x:f>IFERROR(G24/F24,0)</x:f>
        <x:v>0.04430947551942107</x:v>
      </x:c>
      <x:c r="I24" s="23" t="str">
        <x:v>연결 완료</x:v>
      </x:c>
      <x:c r="J24" s="23" t="str">
        <x:v>t_kim_jeonghun</x:v>
      </x:c>
      <x:c r="K24" s="26" t="str">
        <x:v>t_kim_jeonghun</x:v>
      </x:c>
    </x:row>
    <x:row r="25">
      <x:c r="A25" s="22" t="str">
        <x:v>김정훈</x:v>
      </x:c>
      <x:c r="B25" s="23" t="str">
        <x:v>김정훈</x:v>
      </x:c>
      <x:c r="C25" s="23" t="str">
        <x:v>유지</x:v>
      </x:c>
      <x:c r="D25" s="23" t="str">
        <x:v>서울특별시</x:v>
      </x:c>
      <x:c r="E25" s="23" t="str">
        <x:v>종로구</x:v>
      </x:c>
      <x:c r="F25" s="24" t="n">
        <x:v>2080224940</x:v>
      </x:c>
      <x:c r="G25" s="24" t="n">
        <x:v>86967880</x:v>
      </x:c>
      <x:c r="H25" s="25" t="n">
        <x:f>IFERROR(G25/F25,0)</x:f>
        <x:v>0.04180695958774535</x:v>
      </x:c>
      <x:c r="I25" s="23" t="str">
        <x:v>연결 완료</x:v>
      </x:c>
      <x:c r="J25" s="23" t="str">
        <x:v>t_kim_jeonghun</x:v>
      </x:c>
      <x:c r="K25" s="26" t="str">
        <x:v>t_kim_jeonghun</x:v>
      </x:c>
    </x:row>
    <x:row r="26">
      <x:c r="A26" s="22" t="str">
        <x:v>김정훈</x:v>
      </x:c>
      <x:c r="B26" s="23" t="str">
        <x:v>김정훈</x:v>
      </x:c>
      <x:c r="C26" s="23" t="str">
        <x:v>유지</x:v>
      </x:c>
      <x:c r="D26" s="23" t="str">
        <x:v>서울특별시</x:v>
      </x:c>
      <x:c r="E26" s="23" t="str">
        <x:v>중구</x:v>
      </x:c>
      <x:c r="F26" s="24"/>
      <x:c r="G26" s="24"/>
      <x:c r="H26" s="25" t="n">
        <x:f>IFERROR(G26/F26,0)</x:f>
        <x:v>0</x:v>
      </x:c>
      <x:c r="I26" s="23" t="str">
        <x:v>시도 확인 필요</x:v>
      </x:c>
      <x:c r="J26" s="23" t="str">
        <x:v>t_kim_jeonghun</x:v>
      </x:c>
      <x:c r="K26" s="26" t="str">
        <x:v>t_kim_jeonghun</x:v>
      </x:c>
    </x:row>
    <x:row r="27">
      <x:c r="A27" s="22" t="str">
        <x:v>김현섭</x:v>
      </x:c>
      <x:c r="B27" s="23" t="str">
        <x:v>김현섭</x:v>
      </x:c>
      <x:c r="C27" s="23" t="str">
        <x:v>유지</x:v>
      </x:c>
      <x:c r="D27" s="23" t="str">
        <x:v>경기도</x:v>
      </x:c>
      <x:c r="E27" s="23" t="str">
        <x:v>구리시</x:v>
      </x:c>
      <x:c r="F27" s="24" t="n">
        <x:v>146553500</x:v>
      </x:c>
      <x:c r="G27" s="24" t="n">
        <x:v>6399720</x:v>
      </x:c>
      <x:c r="H27" s="25" t="n">
        <x:f>IFERROR(G27/F27,0)</x:f>
        <x:v>0.043668148491847684</x:v>
      </x:c>
      <x:c r="I27" s="23" t="str">
        <x:v>연결 완료</x:v>
      </x:c>
      <x:c r="J27" s="23" t="str">
        <x:v>t_kim_hyeonseop</x:v>
      </x:c>
      <x:c r="K27" s="26" t="str">
        <x:v>t_kim_hyeonseop</x:v>
      </x:c>
    </x:row>
    <x:row r="28">
      <x:c r="A28" s="22" t="str">
        <x:v>김현섭</x:v>
      </x:c>
      <x:c r="B28" s="23" t="str">
        <x:v>김현섭</x:v>
      </x:c>
      <x:c r="C28" s="23" t="str">
        <x:v>유지</x:v>
      </x:c>
      <x:c r="D28" s="23" t="str">
        <x:v>경기도</x:v>
      </x:c>
      <x:c r="E28" s="23" t="str">
        <x:v>남양주시</x:v>
      </x:c>
      <x:c r="F28" s="24" t="n">
        <x:v>309695200</x:v>
      </x:c>
      <x:c r="G28" s="24" t="n">
        <x:v>13567820</x:v>
      </x:c>
      <x:c r="H28" s="25" t="n">
        <x:f>IFERROR(G28/F28,0)</x:f>
        <x:v>0.043810236645579266</x:v>
      </x:c>
      <x:c r="I28" s="23" t="str">
        <x:v>연결 완료</x:v>
      </x:c>
      <x:c r="J28" s="23" t="str">
        <x:v>t_kim_hyeonseop</x:v>
      </x:c>
      <x:c r="K28" s="26" t="str">
        <x:v>t_kim_hyeonseop</x:v>
      </x:c>
    </x:row>
    <x:row r="29">
      <x:c r="A29" s="22" t="str">
        <x:v>김현섭</x:v>
      </x:c>
      <x:c r="B29" s="23" t="str">
        <x:v>김현섭</x:v>
      </x:c>
      <x:c r="C29" s="23" t="str">
        <x:v>유지</x:v>
      </x:c>
      <x:c r="D29" s="23" t="str">
        <x:v>경기도</x:v>
      </x:c>
      <x:c r="E29" s="23" t="str">
        <x:v>하남시</x:v>
      </x:c>
      <x:c r="F29" s="24" t="n">
        <x:v>239711960</x:v>
      </x:c>
      <x:c r="G29" s="24" t="n">
        <x:v>10727420</x:v>
      </x:c>
      <x:c r="H29" s="25" t="n">
        <x:f>IFERROR(G29/F29,0)</x:f>
        <x:v>0.04475129234269329</x:v>
      </x:c>
      <x:c r="I29" s="23" t="str">
        <x:v>연결 완료</x:v>
      </x:c>
      <x:c r="J29" s="23" t="str">
        <x:v>t_kim_hyeonseop</x:v>
      </x:c>
      <x:c r="K29" s="26" t="str">
        <x:v>t_kim_hyeonseop</x:v>
      </x:c>
    </x:row>
    <x:row r="30">
      <x:c r="A30" s="22" t="str">
        <x:v>김현섭</x:v>
      </x:c>
      <x:c r="B30" s="23" t="str">
        <x:v>김현섭</x:v>
      </x:c>
      <x:c r="C30" s="23" t="str">
        <x:v>유지</x:v>
      </x:c>
      <x:c r="D30" s="23" t="str">
        <x:v>서울특별시</x:v>
      </x:c>
      <x:c r="E30" s="23" t="str">
        <x:v>강동구</x:v>
      </x:c>
      <x:c r="F30" s="24" t="n">
        <x:v>457999946</x:v>
      </x:c>
      <x:c r="G30" s="24" t="n">
        <x:v>18863420</x:v>
      </x:c>
      <x:c r="H30" s="25" t="n">
        <x:f>IFERROR(G30/F30,0)</x:f>
        <x:v>0.0411865114062699</x:v>
      </x:c>
      <x:c r="I30" s="23" t="str">
        <x:v>연결 완료</x:v>
      </x:c>
      <x:c r="J30" s="23" t="str">
        <x:v>t_kim_hyeonseop</x:v>
      </x:c>
      <x:c r="K30" s="26" t="str">
        <x:v>t_kim_hyeonseop</x:v>
      </x:c>
    </x:row>
    <x:row r="31">
      <x:c r="A31" s="22" t="str">
        <x:v>김현섭</x:v>
      </x:c>
      <x:c r="B31" s="23" t="str">
        <x:v>김현섭</x:v>
      </x:c>
      <x:c r="C31" s="23" t="str">
        <x:v>유지</x:v>
      </x:c>
      <x:c r="D31" s="23" t="str">
        <x:v>서울특별시</x:v>
      </x:c>
      <x:c r="E31" s="23" t="str">
        <x:v>광진구</x:v>
      </x:c>
      <x:c r="F31" s="24" t="n">
        <x:v>305843560</x:v>
      </x:c>
      <x:c r="G31" s="24" t="n">
        <x:v>13089500</x:v>
      </x:c>
      <x:c r="H31" s="25" t="n">
        <x:f>IFERROR(G31/F31,0)</x:f>
        <x:v>0.0427980239309273</x:v>
      </x:c>
      <x:c r="I31" s="23" t="str">
        <x:v>연결 완료</x:v>
      </x:c>
      <x:c r="J31" s="23" t="str">
        <x:v>t_kim_hyeonseop</x:v>
      </x:c>
      <x:c r="K31" s="26" t="str">
        <x:v>t_kim_hyeonseop</x:v>
      </x:c>
    </x:row>
    <x:row r="32">
      <x:c r="A32" s="22" t="str">
        <x:v>김현섭</x:v>
      </x:c>
      <x:c r="B32" s="23" t="str">
        <x:v>김현섭</x:v>
      </x:c>
      <x:c r="C32" s="23" t="str">
        <x:v>유지</x:v>
      </x:c>
      <x:c r="D32" s="23" t="str">
        <x:v>서울특별시</x:v>
      </x:c>
      <x:c r="E32" s="23" t="str">
        <x:v>성동구</x:v>
      </x:c>
      <x:c r="F32" s="24" t="n">
        <x:v>836100310</x:v>
      </x:c>
      <x:c r="G32" s="24" t="n">
        <x:v>35947050</x:v>
      </x:c>
      <x:c r="H32" s="25" t="n">
        <x:f>IFERROR(G32/F32,0)</x:f>
        <x:v>0.04299370490605368</x:v>
      </x:c>
      <x:c r="I32" s="23" t="str">
        <x:v>연결 완료</x:v>
      </x:c>
      <x:c r="J32" s="23" t="str">
        <x:v>t_kim_hyeonseop</x:v>
      </x:c>
      <x:c r="K32" s="26" t="str">
        <x:v>t_kim_hyeonseop</x:v>
      </x:c>
    </x:row>
    <x:row r="33">
      <x:c r="A33" s="22" t="str">
        <x:v>김현섭</x:v>
      </x:c>
      <x:c r="B33" s="23" t="str">
        <x:v>김현섭</x:v>
      </x:c>
      <x:c r="C33" s="23" t="str">
        <x:v>유지</x:v>
      </x:c>
      <x:c r="D33" s="23" t="str">
        <x:v>서울특별시</x:v>
      </x:c>
      <x:c r="E33" s="23" t="str">
        <x:v>송파구</x:v>
      </x:c>
      <x:c r="F33" s="24" t="n">
        <x:v>1700965821</x:v>
      </x:c>
      <x:c r="G33" s="24" t="n">
        <x:v>72482190</x:v>
      </x:c>
      <x:c r="H33" s="25" t="n">
        <x:f>IFERROR(G33/F33,0)</x:f>
        <x:v>0.04261237298547694</x:v>
      </x:c>
      <x:c r="I33" s="23" t="str">
        <x:v>연결 완료</x:v>
      </x:c>
      <x:c r="J33" s="23" t="str">
        <x:v>t_kim_hyeonseop</x:v>
      </x:c>
      <x:c r="K33" s="26" t="str">
        <x:v>t_kim_hyeonseop</x:v>
      </x:c>
    </x:row>
    <x:row r="34">
      <x:c r="A34" s="22" t="str">
        <x:v>김현섭</x:v>
      </x:c>
      <x:c r="B34" s="23" t="str">
        <x:v>김현섭</x:v>
      </x:c>
      <x:c r="C34" s="23" t="str">
        <x:v>유지</x:v>
      </x:c>
      <x:c r="D34" s="23" t="str">
        <x:v>서울특별시</x:v>
      </x:c>
      <x:c r="E34" s="23" t="str">
        <x:v>중랑구</x:v>
      </x:c>
      <x:c r="F34" s="24" t="n">
        <x:v>98935800</x:v>
      </x:c>
      <x:c r="G34" s="24" t="n">
        <x:v>4505920</x:v>
      </x:c>
      <x:c r="H34" s="25" t="n">
        <x:f>IFERROR(G34/F34,0)</x:f>
        <x:v>0.04554387794913469</x:v>
      </x:c>
      <x:c r="I34" s="23" t="str">
        <x:v>연결 완료</x:v>
      </x:c>
      <x:c r="J34" s="23" t="str">
        <x:v>t_kim_hyeonseop</x:v>
      </x:c>
      <x:c r="K34" s="26" t="str">
        <x:v>t_kim_hyeonseop</x:v>
      </x:c>
    </x:row>
    <x:row r="35">
      <x:c r="A35" s="22" t="str">
        <x:v>손대만</x:v>
      </x:c>
      <x:c r="B35" s="23" t="str">
        <x:v>손대만</x:v>
      </x:c>
      <x:c r="C35" s="23" t="str">
        <x:v>유지</x:v>
      </x:c>
      <x:c r="D35" s="23" t="str">
        <x:v>경기도</x:v>
      </x:c>
      <x:c r="E35" s="23" t="str">
        <x:v>고양시 덕양구</x:v>
      </x:c>
      <x:c r="F35" s="24" t="n">
        <x:v>246693632</x:v>
      </x:c>
      <x:c r="G35" s="24" t="n">
        <x:v>10918720</x:v>
      </x:c>
      <x:c r="H35" s="25" t="n">
        <x:f>IFERROR(G35/F35,0)</x:f>
        <x:v>0.04426024259920905</x:v>
      </x:c>
      <x:c r="I35" s="23" t="str">
        <x:v>연결 완료</x:v>
      </x:c>
      <x:c r="J35" s="23" t="str">
        <x:v>t_son_daeman</x:v>
      </x:c>
      <x:c r="K35" s="26" t="str">
        <x:v>t_son_daeman</x:v>
      </x:c>
    </x:row>
    <x:row r="36">
      <x:c r="A36" s="22" t="str">
        <x:v>손대만</x:v>
      </x:c>
      <x:c r="B36" s="23" t="str">
        <x:v>손대만</x:v>
      </x:c>
      <x:c r="C36" s="23" t="str">
        <x:v>유지</x:v>
      </x:c>
      <x:c r="D36" s="23" t="str">
        <x:v>경기도</x:v>
      </x:c>
      <x:c r="E36" s="23" t="str">
        <x:v>고양시 일산동구</x:v>
      </x:c>
      <x:c r="F36" s="24" t="n">
        <x:v>161866610</x:v>
      </x:c>
      <x:c r="G36" s="24" t="n">
        <x:v>6448040</x:v>
      </x:c>
      <x:c r="H36" s="25" t="n">
        <x:f>IFERROR(G36/F36,0)</x:f>
        <x:v>0.039835516416881774</x:v>
      </x:c>
      <x:c r="I36" s="23" t="str">
        <x:v>연결 완료</x:v>
      </x:c>
      <x:c r="J36" s="23" t="str">
        <x:v>t_son_daeman</x:v>
      </x:c>
      <x:c r="K36" s="26" t="str">
        <x:v>t_son_daeman</x:v>
      </x:c>
    </x:row>
    <x:row r="37">
      <x:c r="A37" s="22" t="str">
        <x:v>손대만</x:v>
      </x:c>
      <x:c r="B37" s="23" t="str">
        <x:v>손대만</x:v>
      </x:c>
      <x:c r="C37" s="23" t="str">
        <x:v>유지</x:v>
      </x:c>
      <x:c r="D37" s="23" t="str">
        <x:v>경기도</x:v>
      </x:c>
      <x:c r="E37" s="23" t="str">
        <x:v>고양시 일산서구</x:v>
      </x:c>
      <x:c r="F37" s="24" t="n">
        <x:v>122891000</x:v>
      </x:c>
      <x:c r="G37" s="24" t="n">
        <x:v>4990410</x:v>
      </x:c>
      <x:c r="H37" s="25" t="n">
        <x:f>IFERROR(G37/F37,0)</x:f>
        <x:v>0.040608425352548196</x:v>
      </x:c>
      <x:c r="I37" s="23" t="str">
        <x:v>연결 완료</x:v>
      </x:c>
      <x:c r="J37" s="23" t="str">
        <x:v>t_son_daeman</x:v>
      </x:c>
      <x:c r="K37" s="26" t="str">
        <x:v>t_son_daeman</x:v>
      </x:c>
    </x:row>
    <x:row r="38">
      <x:c r="A38" s="22" t="str">
        <x:v>손대만</x:v>
      </x:c>
      <x:c r="B38" s="23" t="str">
        <x:v>손대만</x:v>
      </x:c>
      <x:c r="C38" s="23" t="str">
        <x:v>유지</x:v>
      </x:c>
      <x:c r="D38" s="23" t="str">
        <x:v>경기도</x:v>
      </x:c>
      <x:c r="E38" s="23" t="str">
        <x:v>파주시</x:v>
      </x:c>
      <x:c r="F38" s="24" t="n">
        <x:v>301235420</x:v>
      </x:c>
      <x:c r="G38" s="24" t="n">
        <x:v>12346100</x:v>
      </x:c>
      <x:c r="H38" s="25" t="n">
        <x:f>IFERROR(G38/F38,0)</x:f>
        <x:v>0.040984888164877824</x:v>
      </x:c>
      <x:c r="I38" s="23" t="str">
        <x:v>연결 완료</x:v>
      </x:c>
      <x:c r="J38" s="23" t="str">
        <x:v>t_son_daeman</x:v>
      </x:c>
      <x:c r="K38" s="26" t="str">
        <x:v>t_son_daeman</x:v>
      </x:c>
    </x:row>
    <x:row r="39">
      <x:c r="A39" s="22" t="str">
        <x:v>손대만</x:v>
      </x:c>
      <x:c r="B39" s="23" t="str">
        <x:v>손대만</x:v>
      </x:c>
      <x:c r="C39" s="23" t="str">
        <x:v>유지</x:v>
      </x:c>
      <x:c r="D39" s="23" t="str">
        <x:v>서울특별시</x:v>
      </x:c>
      <x:c r="E39" s="23" t="str">
        <x:v>동작구</x:v>
      </x:c>
      <x:c r="F39" s="24" t="n">
        <x:v>491639984</x:v>
      </x:c>
      <x:c r="G39" s="24" t="n">
        <x:v>21790730</x:v>
      </x:c>
      <x:c r="H39" s="25" t="n">
        <x:f>IFERROR(G39/F39,0)</x:f>
        <x:v>0.04432253418997752</x:v>
      </x:c>
      <x:c r="I39" s="23" t="str">
        <x:v>연결 완료</x:v>
      </x:c>
      <x:c r="J39" s="23" t="str">
        <x:v>t_son_daeman</x:v>
      </x:c>
      <x:c r="K39" s="26" t="str">
        <x:v>t_son_daeman</x:v>
      </x:c>
    </x:row>
    <x:row r="40">
      <x:c r="A40" s="22" t="str">
        <x:v>손대만</x:v>
      </x:c>
      <x:c r="B40" s="23" t="str">
        <x:v>손대만</x:v>
      </x:c>
      <x:c r="C40" s="23" t="str">
        <x:v>유지</x:v>
      </x:c>
      <x:c r="D40" s="23" t="str">
        <x:v>서울특별시</x:v>
      </x:c>
      <x:c r="E40" s="23" t="str">
        <x:v>마포구</x:v>
      </x:c>
      <x:c r="F40" s="24" t="n">
        <x:v>965586660</x:v>
      </x:c>
      <x:c r="G40" s="24" t="n">
        <x:v>42646090</x:v>
      </x:c>
      <x:c r="H40" s="25" t="n">
        <x:f>IFERROR(G40/F40,0)</x:f>
        <x:v>0.04416598920287486</x:v>
      </x:c>
      <x:c r="I40" s="23" t="str">
        <x:v>연결 완료</x:v>
      </x:c>
      <x:c r="J40" s="23" t="str">
        <x:v>t_son_daeman</x:v>
      </x:c>
      <x:c r="K40" s="26" t="str">
        <x:v>t_son_daeman</x:v>
      </x:c>
    </x:row>
    <x:row r="41">
      <x:c r="A41" s="22" t="str">
        <x:v>손대만</x:v>
      </x:c>
      <x:c r="B41" s="23" t="str">
        <x:v>손대만</x:v>
      </x:c>
      <x:c r="C41" s="23" t="str">
        <x:v>유지</x:v>
      </x:c>
      <x:c r="D41" s="23" t="str">
        <x:v>서울특별시</x:v>
      </x:c>
      <x:c r="E41" s="23" t="str">
        <x:v>영등포구</x:v>
      </x:c>
      <x:c r="F41" s="24" t="n">
        <x:v>3089772360</x:v>
      </x:c>
      <x:c r="G41" s="24" t="n">
        <x:v>130419830</x:v>
      </x:c>
      <x:c r="H41" s="25" t="n">
        <x:f>IFERROR(G41/F41,0)</x:f>
        <x:v>0.04221017434436497</x:v>
      </x:c>
      <x:c r="I41" s="23" t="str">
        <x:v>연결 완료</x:v>
      </x:c>
      <x:c r="J41" s="23" t="str">
        <x:v>t_son_daeman</x:v>
      </x:c>
      <x:c r="K41" s="26" t="str">
        <x:v>t_son_daeman</x:v>
      </x:c>
    </x:row>
    <x:row r="42">
      <x:c r="A42" s="22" t="str">
        <x:v>신승현</x:v>
      </x:c>
      <x:c r="B42" s="23" t="str">
        <x:v>신승현</x:v>
      </x:c>
      <x:c r="C42" s="23" t="str">
        <x:v>유지</x:v>
      </x:c>
      <x:c r="D42" s="23" t="str">
        <x:v>경기도</x:v>
      </x:c>
      <x:c r="E42" s="23" t="str">
        <x:v>군포시</x:v>
      </x:c>
      <x:c r="F42" s="24" t="n">
        <x:v>213016000</x:v>
      </x:c>
      <x:c r="G42" s="24" t="n">
        <x:v>9829780</x:v>
      </x:c>
      <x:c r="H42" s="25" t="n">
        <x:f>IFERROR(G42/F42,0)</x:f>
        <x:v>0.04614573553160326</x:v>
      </x:c>
      <x:c r="I42" s="23" t="str">
        <x:v>연결 완료</x:v>
      </x:c>
      <x:c r="J42" s="23" t="str">
        <x:v>t_shin_seunghyeon</x:v>
      </x:c>
      <x:c r="K42" s="26" t="str">
        <x:v>t_shin_seunghyeon</x:v>
      </x:c>
    </x:row>
    <x:row r="43">
      <x:c r="A43" s="22" t="str">
        <x:v>신승현</x:v>
      </x:c>
      <x:c r="B43" s="23" t="str">
        <x:v>신승현</x:v>
      </x:c>
      <x:c r="C43" s="23" t="str">
        <x:v>유지</x:v>
      </x:c>
      <x:c r="D43" s="23" t="str">
        <x:v>경기도</x:v>
      </x:c>
      <x:c r="E43" s="23" t="str">
        <x:v>수원시 권선구</x:v>
      </x:c>
      <x:c r="F43" s="24" t="n">
        <x:v>215046000</x:v>
      </x:c>
      <x:c r="G43" s="24" t="n">
        <x:v>10039440</x:v>
      </x:c>
      <x:c r="H43" s="25" t="n">
        <x:f>IFERROR(G43/F43,0)</x:f>
        <x:v>0.04668508133143606</x:v>
      </x:c>
      <x:c r="I43" s="23" t="str">
        <x:v>연결 완료</x:v>
      </x:c>
      <x:c r="J43" s="23" t="str">
        <x:v>t_shin_seunghyeon</x:v>
      </x:c>
      <x:c r="K43" s="26" t="str">
        <x:v>t_shin_seunghyeon</x:v>
      </x:c>
    </x:row>
    <x:row r="44">
      <x:c r="A44" s="22" t="str">
        <x:v>신승현</x:v>
      </x:c>
      <x:c r="B44" s="23" t="str">
        <x:v>신승현</x:v>
      </x:c>
      <x:c r="C44" s="23" t="str">
        <x:v>유지</x:v>
      </x:c>
      <x:c r="D44" s="23" t="str">
        <x:v>경기도</x:v>
      </x:c>
      <x:c r="E44" s="23" t="str">
        <x:v>수원시 영통구</x:v>
      </x:c>
      <x:c r="F44" s="24" t="n">
        <x:v>1212697240</x:v>
      </x:c>
      <x:c r="G44" s="24" t="n">
        <x:v>49595570</x:v>
      </x:c>
      <x:c r="H44" s="25" t="n">
        <x:f>IFERROR(G44/F44,0)</x:f>
        <x:v>0.04089691009769265</x:v>
      </x:c>
      <x:c r="I44" s="23" t="str">
        <x:v>연결 완료</x:v>
      </x:c>
      <x:c r="J44" s="23" t="str">
        <x:v>t_shin_seunghyeon</x:v>
      </x:c>
      <x:c r="K44" s="26" t="str">
        <x:v>t_shin_seunghyeon</x:v>
      </x:c>
    </x:row>
    <x:row r="45">
      <x:c r="A45" s="22" t="str">
        <x:v>신승현</x:v>
      </x:c>
      <x:c r="B45" s="23" t="str">
        <x:v>신승현</x:v>
      </x:c>
      <x:c r="C45" s="23" t="str">
        <x:v>유지</x:v>
      </x:c>
      <x:c r="D45" s="23" t="str">
        <x:v>경기도</x:v>
      </x:c>
      <x:c r="E45" s="23" t="str">
        <x:v>수원시 장안구</x:v>
      </x:c>
      <x:c r="F45" s="24" t="n">
        <x:v>169871446</x:v>
      </x:c>
      <x:c r="G45" s="24" t="n">
        <x:v>7735510</x:v>
      </x:c>
      <x:c r="H45" s="25" t="n">
        <x:f>IFERROR(G45/F45,0)</x:f>
        <x:v>0.04553743540865603</x:v>
      </x:c>
      <x:c r="I45" s="23" t="str">
        <x:v>연결 완료</x:v>
      </x:c>
      <x:c r="J45" s="23" t="str">
        <x:v>t_shin_seunghyeon</x:v>
      </x:c>
      <x:c r="K45" s="26" t="str">
        <x:v>t_shin_seunghyeon</x:v>
      </x:c>
    </x:row>
    <x:row r="46">
      <x:c r="A46" s="22" t="str">
        <x:v>신승현</x:v>
      </x:c>
      <x:c r="B46" s="23" t="str">
        <x:v>신승현</x:v>
      </x:c>
      <x:c r="C46" s="23" t="str">
        <x:v>유지</x:v>
      </x:c>
      <x:c r="D46" s="23" t="str">
        <x:v>경기도</x:v>
      </x:c>
      <x:c r="E46" s="23" t="str">
        <x:v>수원시 팔달구</x:v>
      </x:c>
      <x:c r="F46" s="24" t="n">
        <x:v>198542500</x:v>
      </x:c>
      <x:c r="G46" s="24" t="n">
        <x:v>7700910</x:v>
      </x:c>
      <x:c r="H46" s="25" t="n">
        <x:f>IFERROR(G46/F46,0)</x:f>
        <x:v>0.03878721180603649</x:v>
      </x:c>
      <x:c r="I46" s="23" t="str">
        <x:v>연결 완료</x:v>
      </x:c>
      <x:c r="J46" s="23" t="str">
        <x:v>t_shin_seunghyeon</x:v>
      </x:c>
      <x:c r="K46" s="26" t="str">
        <x:v>t_shin_seunghyeon</x:v>
      </x:c>
    </x:row>
    <x:row r="47">
      <x:c r="A47" s="22" t="str">
        <x:v>신승현</x:v>
      </x:c>
      <x:c r="B47" s="23" t="str">
        <x:v>신승현</x:v>
      </x:c>
      <x:c r="C47" s="23" t="str">
        <x:v>유지</x:v>
      </x:c>
      <x:c r="D47" s="23" t="str">
        <x:v>경기도</x:v>
      </x:c>
      <x:c r="E47" s="23" t="str">
        <x:v>시흥시</x:v>
      </x:c>
      <x:c r="F47" s="24" t="n">
        <x:v>294784170</x:v>
      </x:c>
      <x:c r="G47" s="24" t="n">
        <x:v>13928760</x:v>
      </x:c>
      <x:c r="H47" s="25" t="n">
        <x:f>IFERROR(G47/F47,0)</x:f>
        <x:v>0.047250705490732424</x:v>
      </x:c>
      <x:c r="I47" s="23" t="str">
        <x:v>연결 완료</x:v>
      </x:c>
      <x:c r="J47" s="23" t="str">
        <x:v>t_shin_seunghyeon</x:v>
      </x:c>
      <x:c r="K47" s="26" t="str">
        <x:v>t_shin_seunghyeon</x:v>
      </x:c>
    </x:row>
    <x:row r="48">
      <x:c r="A48" s="22" t="str">
        <x:v>신승현</x:v>
      </x:c>
      <x:c r="B48" s="23" t="str">
        <x:v>신승현</x:v>
      </x:c>
      <x:c r="C48" s="23" t="str">
        <x:v>유지</x:v>
      </x:c>
      <x:c r="D48" s="23" t="str">
        <x:v>경기도</x:v>
      </x:c>
      <x:c r="E48" s="23" t="str">
        <x:v>안산시 단원구</x:v>
      </x:c>
      <x:c r="F48" s="24" t="n">
        <x:v>500006080</x:v>
      </x:c>
      <x:c r="G48" s="24" t="n">
        <x:v>21381610</x:v>
      </x:c>
      <x:c r="H48" s="25" t="n">
        <x:f>IFERROR(G48/F48,0)</x:f>
        <x:v>0.042762700005567936</x:v>
      </x:c>
      <x:c r="I48" s="23" t="str">
        <x:v>연결 완료</x:v>
      </x:c>
      <x:c r="J48" s="23" t="str">
        <x:v>t_shin_seunghyeon</x:v>
      </x:c>
      <x:c r="K48" s="26" t="str">
        <x:v>t_shin_seunghyeon</x:v>
      </x:c>
    </x:row>
    <x:row r="49">
      <x:c r="A49" s="22" t="str">
        <x:v>신승현</x:v>
      </x:c>
      <x:c r="B49" s="23" t="str">
        <x:v>신승현</x:v>
      </x:c>
      <x:c r="C49" s="23" t="str">
        <x:v>유지</x:v>
      </x:c>
      <x:c r="D49" s="23" t="str">
        <x:v>경기도</x:v>
      </x:c>
      <x:c r="E49" s="23" t="str">
        <x:v>안산시 상록구</x:v>
      </x:c>
      <x:c r="F49" s="24" t="n">
        <x:v>155766310</x:v>
      </x:c>
      <x:c r="G49" s="24" t="n">
        <x:v>7217370</x:v>
      </x:c>
      <x:c r="H49" s="25" t="n">
        <x:f>IFERROR(G49/F49,0)</x:f>
        <x:v>0.04633460213572498</x:v>
      </x:c>
      <x:c r="I49" s="23" t="str">
        <x:v>연결 완료</x:v>
      </x:c>
      <x:c r="J49" s="23" t="str">
        <x:v>t_shin_seunghyeon</x:v>
      </x:c>
      <x:c r="K49" s="26" t="str">
        <x:v>t_shin_seunghyeon</x:v>
      </x:c>
    </x:row>
    <x:row r="50">
      <x:c r="A50" s="22" t="str">
        <x:v>신승현</x:v>
      </x:c>
      <x:c r="B50" s="23" t="str">
        <x:v>신승현</x:v>
      </x:c>
      <x:c r="C50" s="23" t="str">
        <x:v>유지</x:v>
      </x:c>
      <x:c r="D50" s="23" t="str">
        <x:v>경기도</x:v>
      </x:c>
      <x:c r="E50" s="23" t="str">
        <x:v>안성시</x:v>
      </x:c>
      <x:c r="F50" s="24" t="n">
        <x:v>312179540</x:v>
      </x:c>
      <x:c r="G50" s="24" t="n">
        <x:v>13760940</x:v>
      </x:c>
      <x:c r="H50" s="25" t="n">
        <x:f>IFERROR(G50/F50,0)</x:f>
        <x:v>0.04408021102215731</x:v>
      </x:c>
      <x:c r="I50" s="23" t="str">
        <x:v>연결 완료</x:v>
      </x:c>
      <x:c r="J50" s="23" t="str">
        <x:v>t_shin_seunghyeon</x:v>
      </x:c>
      <x:c r="K50" s="26" t="str">
        <x:v>t_shin_seunghyeon</x:v>
      </x:c>
    </x:row>
    <x:row r="51">
      <x:c r="A51" s="22" t="str">
        <x:v>신승현</x:v>
      </x:c>
      <x:c r="B51" s="23" t="str">
        <x:v>신승현</x:v>
      </x:c>
      <x:c r="C51" s="23" t="str">
        <x:v>유지</x:v>
      </x:c>
      <x:c r="D51" s="23" t="str">
        <x:v>경기도</x:v>
      </x:c>
      <x:c r="E51" s="23" t="str">
        <x:v>안양시 동안구</x:v>
      </x:c>
      <x:c r="F51" s="24" t="n">
        <x:v>551000880</x:v>
      </x:c>
      <x:c r="G51" s="24" t="n">
        <x:v>23581260</x:v>
      </x:c>
      <x:c r="H51" s="25" t="n">
        <x:f>IFERROR(G51/F51,0)</x:f>
        <x:v>0.04279713673052573</x:v>
      </x:c>
      <x:c r="I51" s="23" t="str">
        <x:v>연결 완료</x:v>
      </x:c>
      <x:c r="J51" s="23" t="str">
        <x:v>t_shin_seunghyeon</x:v>
      </x:c>
      <x:c r="K51" s="26" t="str">
        <x:v>t_shin_seunghyeon</x:v>
      </x:c>
    </x:row>
    <x:row r="52">
      <x:c r="A52" s="22" t="str">
        <x:v>신승현</x:v>
      </x:c>
      <x:c r="B52" s="23" t="str">
        <x:v>신승현</x:v>
      </x:c>
      <x:c r="C52" s="23" t="str">
        <x:v>유지</x:v>
      </x:c>
      <x:c r="D52" s="23" t="str">
        <x:v>경기도</x:v>
      </x:c>
      <x:c r="E52" s="23" t="str">
        <x:v>안양시 만안구</x:v>
      </x:c>
      <x:c r="F52" s="24" t="n">
        <x:v>155352000</x:v>
      </x:c>
      <x:c r="G52" s="24" t="n">
        <x:v>6665670</x:v>
      </x:c>
      <x:c r="H52" s="25" t="n">
        <x:f>IFERROR(G52/F52,0)</x:f>
        <x:v>0.04290688243472887</x:v>
      </x:c>
      <x:c r="I52" s="23" t="str">
        <x:v>연결 완료</x:v>
      </x:c>
      <x:c r="J52" s="23" t="str">
        <x:v>t_shin_seunghyeon</x:v>
      </x:c>
      <x:c r="K52" s="26" t="str">
        <x:v>t_shin_seunghyeon</x:v>
      </x:c>
    </x:row>
    <x:row r="53">
      <x:c r="A53" s="22" t="str">
        <x:v>신승현</x:v>
      </x:c>
      <x:c r="B53" s="23" t="str">
        <x:v>신승현</x:v>
      </x:c>
      <x:c r="C53" s="23" t="str">
        <x:v>유지</x:v>
      </x:c>
      <x:c r="D53" s="23" t="str">
        <x:v>경기도</x:v>
      </x:c>
      <x:c r="E53" s="23" t="str">
        <x:v>오산시</x:v>
      </x:c>
      <x:c r="F53" s="24" t="n">
        <x:v>220637000</x:v>
      </x:c>
      <x:c r="G53" s="24" t="n">
        <x:v>9669610</x:v>
      </x:c>
      <x:c r="H53" s="25" t="n">
        <x:f>IFERROR(G53/F53,0)</x:f>
        <x:v>0.0438258768928149</x:v>
      </x:c>
      <x:c r="I53" s="23" t="str">
        <x:v>연결 완료</x:v>
      </x:c>
      <x:c r="J53" s="23" t="str">
        <x:v>t_shin_seunghyeon</x:v>
      </x:c>
      <x:c r="K53" s="26" t="str">
        <x:v>t_shin_seunghyeon</x:v>
      </x:c>
    </x:row>
    <x:row r="54">
      <x:c r="A54" s="22" t="str">
        <x:v>신승현</x:v>
      </x:c>
      <x:c r="B54" s="23" t="str">
        <x:v>신승현</x:v>
      </x:c>
      <x:c r="C54" s="23" t="str">
        <x:v>유지</x:v>
      </x:c>
      <x:c r="D54" s="23" t="str">
        <x:v>경기도</x:v>
      </x:c>
      <x:c r="E54" s="23" t="str">
        <x:v>용인시 기흥구</x:v>
      </x:c>
      <x:c r="F54" s="24" t="n">
        <x:v>958478466</x:v>
      </x:c>
      <x:c r="G54" s="24" t="n">
        <x:v>41281570</x:v>
      </x:c>
      <x:c r="H54" s="25" t="n">
        <x:f>IFERROR(G54/F54,0)</x:f>
        <x:v>0.04306989824432842</x:v>
      </x:c>
      <x:c r="I54" s="23" t="str">
        <x:v>연결 완료</x:v>
      </x:c>
      <x:c r="J54" s="23" t="str">
        <x:v>t_shin_seunghyeon</x:v>
      </x:c>
      <x:c r="K54" s="26" t="str">
        <x:v>t_shin_seunghyeon</x:v>
      </x:c>
    </x:row>
    <x:row r="55">
      <x:c r="A55" s="22" t="str">
        <x:v>신승현</x:v>
      </x:c>
      <x:c r="B55" s="23" t="str">
        <x:v>신승현</x:v>
      </x:c>
      <x:c r="C55" s="23" t="str">
        <x:v>유지</x:v>
      </x:c>
      <x:c r="D55" s="23" t="str">
        <x:v>경기도</x:v>
      </x:c>
      <x:c r="E55" s="23" t="str">
        <x:v>용인시 수지구</x:v>
      </x:c>
      <x:c r="F55" s="24" t="n">
        <x:v>274441920</x:v>
      </x:c>
      <x:c r="G55" s="24" t="n">
        <x:v>12230070</x:v>
      </x:c>
      <x:c r="H55" s="25" t="n">
        <x:f>IFERROR(G55/F55,0)</x:f>
        <x:v>0.04456341800844419</x:v>
      </x:c>
      <x:c r="I55" s="23" t="str">
        <x:v>연결 완료</x:v>
      </x:c>
      <x:c r="J55" s="23" t="str">
        <x:v>t_shin_seunghyeon</x:v>
      </x:c>
      <x:c r="K55" s="26" t="str">
        <x:v>t_shin_seunghyeon</x:v>
      </x:c>
    </x:row>
    <x:row r="56">
      <x:c r="A56" s="22" t="str">
        <x:v>신승현</x:v>
      </x:c>
      <x:c r="B56" s="23" t="str">
        <x:v>신승현</x:v>
      </x:c>
      <x:c r="C56" s="23" t="str">
        <x:v>유지</x:v>
      </x:c>
      <x:c r="D56" s="23" t="str">
        <x:v>경기도</x:v>
      </x:c>
      <x:c r="E56" s="23" t="str">
        <x:v>용인시 처인구</x:v>
      </x:c>
      <x:c r="F56" s="24" t="n">
        <x:v>397881156</x:v>
      </x:c>
      <x:c r="G56" s="24" t="n">
        <x:v>17351370</x:v>
      </x:c>
      <x:c r="H56" s="25" t="n">
        <x:f>IFERROR(G56/F56,0)</x:f>
        <x:v>0.043609428942143716</x:v>
      </x:c>
      <x:c r="I56" s="23" t="str">
        <x:v>연결 완료</x:v>
      </x:c>
      <x:c r="J56" s="23" t="str">
        <x:v>t_shin_seunghyeon</x:v>
      </x:c>
      <x:c r="K56" s="26" t="str">
        <x:v>t_shin_seunghyeon</x:v>
      </x:c>
    </x:row>
    <x:row r="57">
      <x:c r="A57" s="22" t="str">
        <x:v>신승현</x:v>
      </x:c>
      <x:c r="B57" s="23" t="str">
        <x:v>신승현</x:v>
      </x:c>
      <x:c r="C57" s="23" t="str">
        <x:v>유지</x:v>
      </x:c>
      <x:c r="D57" s="23" t="str">
        <x:v>경기도</x:v>
      </x:c>
      <x:c r="E57" s="23" t="str">
        <x:v>의왕시</x:v>
      </x:c>
      <x:c r="F57" s="24" t="n">
        <x:v>186924000</x:v>
      </x:c>
      <x:c r="G57" s="24" t="n">
        <x:v>7870560</x:v>
      </x:c>
      <x:c r="H57" s="25" t="n">
        <x:f>IFERROR(G57/F57,0)</x:f>
        <x:v>0.042105668613982156</x:v>
      </x:c>
      <x:c r="I57" s="23" t="str">
        <x:v>연결 완료</x:v>
      </x:c>
      <x:c r="J57" s="23" t="str">
        <x:v>t_shin_seunghyeon</x:v>
      </x:c>
      <x:c r="K57" s="26" t="str">
        <x:v>t_shin_seunghyeon</x:v>
      </x:c>
    </x:row>
    <x:row r="58">
      <x:c r="A58" s="22" t="str">
        <x:v>신승현</x:v>
      </x:c>
      <x:c r="B58" s="23" t="str">
        <x:v>신승현</x:v>
      </x:c>
      <x:c r="C58" s="23" t="str">
        <x:v>유지</x:v>
      </x:c>
      <x:c r="D58" s="23" t="str">
        <x:v>경기도</x:v>
      </x:c>
      <x:c r="E58" s="23" t="str">
        <x:v>평택시</x:v>
      </x:c>
      <x:c r="F58" s="24" t="n">
        <x:v>1039079220</x:v>
      </x:c>
      <x:c r="G58" s="24" t="n">
        <x:v>44373590</x:v>
      </x:c>
      <x:c r="H58" s="25" t="n">
        <x:f>IFERROR(G58/F58,0)</x:f>
        <x:v>0.04270472274481632</x:v>
      </x:c>
      <x:c r="I58" s="23" t="str">
        <x:v>연결 완료</x:v>
      </x:c>
      <x:c r="J58" s="23" t="str">
        <x:v>t_shin_seunghyeon</x:v>
      </x:c>
      <x:c r="K58" s="26" t="str">
        <x:v>t_shin_seunghyeon</x:v>
      </x:c>
    </x:row>
    <x:row r="59">
      <x:c r="A59" s="22" t="str">
        <x:v>신승현</x:v>
      </x:c>
      <x:c r="B59" s="23" t="str">
        <x:v>신승현</x:v>
      </x:c>
      <x:c r="C59" s="23" t="str">
        <x:v>유지</x:v>
      </x:c>
      <x:c r="D59" s="23" t="str">
        <x:v>경기도</x:v>
      </x:c>
      <x:c r="E59" s="23" t="str">
        <x:v>화성시</x:v>
      </x:c>
      <x:c r="F59" s="24" t="n">
        <x:v>2273202220</x:v>
      </x:c>
      <x:c r="G59" s="24" t="n">
        <x:v>99219440</x:v>
      </x:c>
      <x:c r="H59" s="25" t="n">
        <x:f>IFERROR(G59/F59,0)</x:f>
        <x:v>0.04364743229926988</x:v>
      </x:c>
      <x:c r="I59" s="23" t="str">
        <x:v>연결 완료</x:v>
      </x:c>
      <x:c r="J59" s="23" t="str">
        <x:v>t_shin_seunghyeon</x:v>
      </x:c>
      <x:c r="K59" s="26" t="str">
        <x:v>t_shin_seunghyeon</x:v>
      </x:c>
    </x:row>
    <x:row r="60">
      <x:c r="A60" s="22" t="str">
        <x:v>신승현</x:v>
      </x:c>
      <x:c r="B60" s="23" t="str">
        <x:v>신승현</x:v>
      </x:c>
      <x:c r="C60" s="23" t="str">
        <x:v>유지</x:v>
      </x:c>
      <x:c r="D60" s="23" t="str">
        <x:v>광주광역시</x:v>
      </x:c>
      <x:c r="E60" s="23" t="str">
        <x:v>동구</x:v>
      </x:c>
      <x:c r="F60" s="24"/>
      <x:c r="G60" s="24"/>
      <x:c r="H60" s="25" t="n">
        <x:f>IFERROR(G60/F60,0)</x:f>
        <x:v>0</x:v>
      </x:c>
      <x:c r="I60" s="23" t="str">
        <x:v>시도 확인 필요</x:v>
      </x:c>
      <x:c r="J60" s="23" t="str">
        <x:v>t_shin_seunghyeon</x:v>
      </x:c>
      <x:c r="K60" s="26" t="str">
        <x:v>t_shin_seunghyeon</x:v>
      </x:c>
    </x:row>
    <x:row r="61">
      <x:c r="A61" s="22" t="str">
        <x:v>신승현</x:v>
      </x:c>
      <x:c r="B61" s="23" t="str">
        <x:v>신승현</x:v>
      </x:c>
      <x:c r="C61" s="23" t="str">
        <x:v>유지</x:v>
      </x:c>
      <x:c r="D61" s="23" t="str">
        <x:v>광주광역시</x:v>
      </x:c>
      <x:c r="E61" s="23" t="str">
        <x:v>서구</x:v>
      </x:c>
      <x:c r="F61" s="24"/>
      <x:c r="G61" s="24"/>
      <x:c r="H61" s="25" t="n">
        <x:f>IFERROR(G61/F61,0)</x:f>
        <x:v>0</x:v>
      </x:c>
      <x:c r="I61" s="23" t="str">
        <x:v>시도 확인 필요</x:v>
      </x:c>
      <x:c r="J61" s="23" t="str">
        <x:v>t_shin_seunghyeon</x:v>
      </x:c>
      <x:c r="K61" s="26" t="str">
        <x:v>t_shin_seunghyeon</x:v>
      </x:c>
    </x:row>
    <x:row r="62">
      <x:c r="A62" s="22" t="str">
        <x:v>신승현</x:v>
      </x:c>
      <x:c r="B62" s="23" t="str">
        <x:v>신승현</x:v>
      </x:c>
      <x:c r="C62" s="23" t="str">
        <x:v>유지</x:v>
      </x:c>
      <x:c r="D62" s="23" t="str">
        <x:v>대구광역시</x:v>
      </x:c>
      <x:c r="E62" s="23" t="str">
        <x:v>동구</x:v>
      </x:c>
      <x:c r="F62" s="24"/>
      <x:c r="G62" s="24"/>
      <x:c r="H62" s="25" t="n">
        <x:f>IFERROR(G62/F62,0)</x:f>
        <x:v>0</x:v>
      </x:c>
      <x:c r="I62" s="23" t="str">
        <x:v>시도 확인 필요</x:v>
      </x:c>
      <x:c r="J62" s="23" t="str">
        <x:v>t_shin_seunghyeon</x:v>
      </x:c>
      <x:c r="K62" s="26" t="str">
        <x:v>t_shin_seunghyeon</x:v>
      </x:c>
    </x:row>
    <x:row r="63">
      <x:c r="A63" s="22" t="str">
        <x:v>신승현</x:v>
      </x:c>
      <x:c r="B63" s="23" t="str">
        <x:v>신승현</x:v>
      </x:c>
      <x:c r="C63" s="23" t="str">
        <x:v>유지</x:v>
      </x:c>
      <x:c r="D63" s="23" t="str">
        <x:v>대구광역시</x:v>
      </x:c>
      <x:c r="E63" s="23" t="str">
        <x:v>서구</x:v>
      </x:c>
      <x:c r="F63" s="24"/>
      <x:c r="G63" s="24"/>
      <x:c r="H63" s="25" t="n">
        <x:f>IFERROR(G63/F63,0)</x:f>
        <x:v>0</x:v>
      </x:c>
      <x:c r="I63" s="23" t="str">
        <x:v>시도 확인 필요</x:v>
      </x:c>
      <x:c r="J63" s="23" t="str">
        <x:v>t_shin_seunghyeon</x:v>
      </x:c>
      <x:c r="K63" s="26" t="str">
        <x:v>t_shin_seunghyeon</x:v>
      </x:c>
    </x:row>
    <x:row r="64">
      <x:c r="A64" s="22" t="str">
        <x:v>신승현</x:v>
      </x:c>
      <x:c r="B64" s="23" t="str">
        <x:v>신승현</x:v>
      </x:c>
      <x:c r="C64" s="23" t="str">
        <x:v>유지</x:v>
      </x:c>
      <x:c r="D64" s="23" t="str">
        <x:v>대구광역시</x:v>
      </x:c>
      <x:c r="E64" s="23" t="str">
        <x:v>중구</x:v>
      </x:c>
      <x:c r="F64" s="24"/>
      <x:c r="G64" s="24"/>
      <x:c r="H64" s="25" t="n">
        <x:f>IFERROR(G64/F64,0)</x:f>
        <x:v>0</x:v>
      </x:c>
      <x:c r="I64" s="23" t="str">
        <x:v>시도 확인 필요</x:v>
      </x:c>
      <x:c r="J64" s="23" t="str">
        <x:v>t_shin_seunghyeon</x:v>
      </x:c>
      <x:c r="K64" s="26" t="str">
        <x:v>t_shin_seunghyeon</x:v>
      </x:c>
    </x:row>
    <x:row r="65">
      <x:c r="A65" s="22" t="str">
        <x:v>신승현</x:v>
      </x:c>
      <x:c r="B65" s="23" t="str">
        <x:v>신승현</x:v>
      </x:c>
      <x:c r="C65" s="23" t="str">
        <x:v>유지</x:v>
      </x:c>
      <x:c r="D65" s="23" t="str">
        <x:v>대전광역시</x:v>
      </x:c>
      <x:c r="E65" s="23" t="str">
        <x:v>동구</x:v>
      </x:c>
      <x:c r="F65" s="24"/>
      <x:c r="G65" s="24"/>
      <x:c r="H65" s="25" t="n">
        <x:f>IFERROR(G65/F65,0)</x:f>
        <x:v>0</x:v>
      </x:c>
      <x:c r="I65" s="23" t="str">
        <x:v>시도 확인 필요</x:v>
      </x:c>
      <x:c r="J65" s="23" t="str">
        <x:v>t_shin_seunghyeon</x:v>
      </x:c>
      <x:c r="K65" s="26" t="str">
        <x:v>t_shin_seunghyeon</x:v>
      </x:c>
    </x:row>
    <x:row r="66">
      <x:c r="A66" s="22" t="str">
        <x:v>신승현</x:v>
      </x:c>
      <x:c r="B66" s="23" t="str">
        <x:v>신승현</x:v>
      </x:c>
      <x:c r="C66" s="23" t="str">
        <x:v>유지</x:v>
      </x:c>
      <x:c r="D66" s="23" t="str">
        <x:v>대전광역시</x:v>
      </x:c>
      <x:c r="E66" s="23" t="str">
        <x:v>서구</x:v>
      </x:c>
      <x:c r="F66" s="24"/>
      <x:c r="G66" s="24"/>
      <x:c r="H66" s="25" t="n">
        <x:f>IFERROR(G66/F66,0)</x:f>
        <x:v>0</x:v>
      </x:c>
      <x:c r="I66" s="23" t="str">
        <x:v>시도 확인 필요</x:v>
      </x:c>
      <x:c r="J66" s="23" t="str">
        <x:v>t_shin_seunghyeon</x:v>
      </x:c>
      <x:c r="K66" s="26" t="str">
        <x:v>t_shin_seunghyeon</x:v>
      </x:c>
    </x:row>
    <x:row r="67">
      <x:c r="A67" s="22" t="str">
        <x:v>신승현</x:v>
      </x:c>
      <x:c r="B67" s="23" t="str">
        <x:v>신승현</x:v>
      </x:c>
      <x:c r="C67" s="23" t="str">
        <x:v>유지</x:v>
      </x:c>
      <x:c r="D67" s="23" t="str">
        <x:v>대전광역시</x:v>
      </x:c>
      <x:c r="E67" s="23" t="str">
        <x:v>중구</x:v>
      </x:c>
      <x:c r="F67" s="24"/>
      <x:c r="G67" s="24"/>
      <x:c r="H67" s="25" t="n">
        <x:f>IFERROR(G67/F67,0)</x:f>
        <x:v>0</x:v>
      </x:c>
      <x:c r="I67" s="23" t="str">
        <x:v>시도 확인 필요</x:v>
      </x:c>
      <x:c r="J67" s="23" t="str">
        <x:v>t_shin_seunghyeon</x:v>
      </x:c>
      <x:c r="K67" s="26" t="str">
        <x:v>t_shin_seunghyeon</x:v>
      </x:c>
    </x:row>
    <x:row r="68">
      <x:c r="A68" s="22" t="str">
        <x:v>신승현</x:v>
      </x:c>
      <x:c r="B68" s="23" t="str">
        <x:v>신승현</x:v>
      </x:c>
      <x:c r="C68" s="23" t="str">
        <x:v>유지</x:v>
      </x:c>
      <x:c r="D68" s="23" t="str">
        <x:v>부산광역시</x:v>
      </x:c>
      <x:c r="E68" s="23" t="str">
        <x:v>동구</x:v>
      </x:c>
      <x:c r="F68" s="24"/>
      <x:c r="G68" s="24"/>
      <x:c r="H68" s="25" t="n">
        <x:f>IFERROR(G68/F68,0)</x:f>
        <x:v>0</x:v>
      </x:c>
      <x:c r="I68" s="23" t="str">
        <x:v>시도 확인 필요</x:v>
      </x:c>
      <x:c r="J68" s="23" t="str">
        <x:v>t_shin_seunghyeon</x:v>
      </x:c>
      <x:c r="K68" s="26" t="str">
        <x:v>t_shin_seunghyeon</x:v>
      </x:c>
    </x:row>
    <x:row r="69">
      <x:c r="A69" s="22" t="str">
        <x:v>신승현</x:v>
      </x:c>
      <x:c r="B69" s="23" t="str">
        <x:v>신승현</x:v>
      </x:c>
      <x:c r="C69" s="23" t="str">
        <x:v>유지</x:v>
      </x:c>
      <x:c r="D69" s="23" t="str">
        <x:v>부산광역시</x:v>
      </x:c>
      <x:c r="E69" s="23" t="str">
        <x:v>서구</x:v>
      </x:c>
      <x:c r="F69" s="24"/>
      <x:c r="G69" s="24"/>
      <x:c r="H69" s="25" t="n">
        <x:f>IFERROR(G69/F69,0)</x:f>
        <x:v>0</x:v>
      </x:c>
      <x:c r="I69" s="23" t="str">
        <x:v>시도 확인 필요</x:v>
      </x:c>
      <x:c r="J69" s="23" t="str">
        <x:v>t_shin_seunghyeon</x:v>
      </x:c>
      <x:c r="K69" s="26" t="str">
        <x:v>t_shin_seunghyeon</x:v>
      </x:c>
    </x:row>
    <x:row r="70">
      <x:c r="A70" s="22" t="str">
        <x:v>신승현</x:v>
      </x:c>
      <x:c r="B70" s="23" t="str">
        <x:v>신승현</x:v>
      </x:c>
      <x:c r="C70" s="23" t="str">
        <x:v>유지</x:v>
      </x:c>
      <x:c r="D70" s="23" t="str">
        <x:v>부산광역시</x:v>
      </x:c>
      <x:c r="E70" s="23" t="str">
        <x:v>중구</x:v>
      </x:c>
      <x:c r="F70" s="24"/>
      <x:c r="G70" s="24"/>
      <x:c r="H70" s="25" t="n">
        <x:f>IFERROR(G70/F70,0)</x:f>
        <x:v>0</x:v>
      </x:c>
      <x:c r="I70" s="23" t="str">
        <x:v>시도 확인 필요</x:v>
      </x:c>
      <x:c r="J70" s="23" t="str">
        <x:v>t_shin_seunghyeon</x:v>
      </x:c>
      <x:c r="K70" s="26" t="str">
        <x:v>t_shin_seunghyeon</x:v>
      </x:c>
    </x:row>
    <x:row r="71">
      <x:c r="A71" s="22" t="str">
        <x:v>신승현</x:v>
      </x:c>
      <x:c r="B71" s="23" t="str">
        <x:v>신승현</x:v>
      </x:c>
      <x:c r="C71" s="23" t="str">
        <x:v>유지</x:v>
      </x:c>
      <x:c r="D71" s="23" t="str">
        <x:v>울산광역시</x:v>
      </x:c>
      <x:c r="E71" s="23" t="str">
        <x:v>동구</x:v>
      </x:c>
      <x:c r="F71" s="24"/>
      <x:c r="G71" s="24"/>
      <x:c r="H71" s="25" t="n">
        <x:f>IFERROR(G71/F71,0)</x:f>
        <x:v>0</x:v>
      </x:c>
      <x:c r="I71" s="23" t="str">
        <x:v>시도 확인 필요</x:v>
      </x:c>
      <x:c r="J71" s="23" t="str">
        <x:v>t_shin_seunghyeon</x:v>
      </x:c>
      <x:c r="K71" s="26" t="str">
        <x:v>t_shin_seunghyeon</x:v>
      </x:c>
    </x:row>
    <x:row r="72">
      <x:c r="A72" s="22" t="str">
        <x:v>신승현</x:v>
      </x:c>
      <x:c r="B72" s="23" t="str">
        <x:v>신승현</x:v>
      </x:c>
      <x:c r="C72" s="23" t="str">
        <x:v>유지</x:v>
      </x:c>
      <x:c r="D72" s="23" t="str">
        <x:v>울산광역시</x:v>
      </x:c>
      <x:c r="E72" s="23" t="str">
        <x:v>중구</x:v>
      </x:c>
      <x:c r="F72" s="24"/>
      <x:c r="G72" s="24"/>
      <x:c r="H72" s="25" t="n">
        <x:f>IFERROR(G72/F72,0)</x:f>
        <x:v>0</x:v>
      </x:c>
      <x:c r="I72" s="23" t="str">
        <x:v>시도 확인 필요</x:v>
      </x:c>
      <x:c r="J72" s="23" t="str">
        <x:v>t_shin_seunghyeon</x:v>
      </x:c>
      <x:c r="K72" s="26" t="str">
        <x:v>t_shin_seunghyeon</x:v>
      </x:c>
    </x:row>
    <x:row r="73">
      <x:c r="A73" s="22" t="str">
        <x:v>신승현</x:v>
      </x:c>
      <x:c r="B73" s="23" t="str">
        <x:v>신승현</x:v>
      </x:c>
      <x:c r="C73" s="23" t="str">
        <x:v>유지</x:v>
      </x:c>
      <x:c r="D73" s="23" t="str">
        <x:v>인천광역시</x:v>
      </x:c>
      <x:c r="E73" s="23" t="str">
        <x:v>계양구</x:v>
      </x:c>
      <x:c r="F73" s="24" t="n">
        <x:v>92461980</x:v>
      </x:c>
      <x:c r="G73" s="24" t="n">
        <x:v>3857790</x:v>
      </x:c>
      <x:c r="H73" s="25" t="n">
        <x:f>IFERROR(G73/F73,0)</x:f>
        <x:v>0.04172298711318966</x:v>
      </x:c>
      <x:c r="I73" s="23" t="str">
        <x:v>연결 완료</x:v>
      </x:c>
      <x:c r="J73" s="23" t="str">
        <x:v>t_shin_seunghyeon</x:v>
      </x:c>
      <x:c r="K73" s="26" t="str">
        <x:v>t_shin_seunghyeon</x:v>
      </x:c>
    </x:row>
    <x:row r="74">
      <x:c r="A74" s="22" t="str">
        <x:v>신승현</x:v>
      </x:c>
      <x:c r="B74" s="23" t="str">
        <x:v>신승현</x:v>
      </x:c>
      <x:c r="C74" s="23" t="str">
        <x:v>유지</x:v>
      </x:c>
      <x:c r="D74" s="23" t="str">
        <x:v>인천광역시</x:v>
      </x:c>
      <x:c r="E74" s="23" t="str">
        <x:v>남동구</x:v>
      </x:c>
      <x:c r="F74" s="24" t="n">
        <x:v>301859000</x:v>
      </x:c>
      <x:c r="G74" s="24" t="n">
        <x:v>13257830</x:v>
      </x:c>
      <x:c r="H74" s="25" t="n">
        <x:f>IFERROR(G74/F74,0)</x:f>
        <x:v>0.04392060531572688</x:v>
      </x:c>
      <x:c r="I74" s="23" t="str">
        <x:v>연결 완료</x:v>
      </x:c>
      <x:c r="J74" s="23" t="str">
        <x:v>t_shin_seunghyeon</x:v>
      </x:c>
      <x:c r="K74" s="26" t="str">
        <x:v>t_shin_seunghyeon</x:v>
      </x:c>
    </x:row>
    <x:row r="75">
      <x:c r="A75" s="22" t="str">
        <x:v>신승현</x:v>
      </x:c>
      <x:c r="B75" s="23" t="str">
        <x:v>신승현</x:v>
      </x:c>
      <x:c r="C75" s="23" t="str">
        <x:v>유지</x:v>
      </x:c>
      <x:c r="D75" s="23" t="str">
        <x:v>인천광역시</x:v>
      </x:c>
      <x:c r="E75" s="23" t="str">
        <x:v>동구</x:v>
      </x:c>
      <x:c r="F75" s="24"/>
      <x:c r="G75" s="24"/>
      <x:c r="H75" s="25" t="n">
        <x:f>IFERROR(G75/F75,0)</x:f>
        <x:v>0</x:v>
      </x:c>
      <x:c r="I75" s="23" t="str">
        <x:v>시도 확인 필요</x:v>
      </x:c>
      <x:c r="J75" s="23" t="str">
        <x:v>t_shin_seunghyeon</x:v>
      </x:c>
      <x:c r="K75" s="26" t="str">
        <x:v>t_shin_seunghyeon</x:v>
      </x:c>
    </x:row>
    <x:row r="76">
      <x:c r="A76" s="22" t="str">
        <x:v>신승현</x:v>
      </x:c>
      <x:c r="B76" s="23" t="str">
        <x:v>신승현</x:v>
      </x:c>
      <x:c r="C76" s="23" t="str">
        <x:v>유지</x:v>
      </x:c>
      <x:c r="D76" s="23" t="str">
        <x:v>인천광역시</x:v>
      </x:c>
      <x:c r="E76" s="23" t="str">
        <x:v>미추홀구</x:v>
      </x:c>
      <x:c r="F76" s="24" t="n">
        <x:v>308763970</x:v>
      </x:c>
      <x:c r="G76" s="24" t="n">
        <x:v>15425550</x:v>
      </x:c>
      <x:c r="H76" s="25" t="n">
        <x:f>IFERROR(G76/F76,0)</x:f>
        <x:v>0.04995903505192008</x:v>
      </x:c>
      <x:c r="I76" s="23" t="str">
        <x:v>연결 완료</x:v>
      </x:c>
      <x:c r="J76" s="23" t="str">
        <x:v>t_shin_seunghyeon</x:v>
      </x:c>
      <x:c r="K76" s="26" t="str">
        <x:v>t_shin_seunghyeon</x:v>
      </x:c>
    </x:row>
    <x:row r="77">
      <x:c r="A77" s="22" t="str">
        <x:v>신승현</x:v>
      </x:c>
      <x:c r="B77" s="23" t="str">
        <x:v>신승현</x:v>
      </x:c>
      <x:c r="C77" s="23" t="str">
        <x:v>유지</x:v>
      </x:c>
      <x:c r="D77" s="23" t="str">
        <x:v>인천광역시</x:v>
      </x:c>
      <x:c r="E77" s="23" t="str">
        <x:v>부평구</x:v>
      </x:c>
      <x:c r="F77" s="24" t="n">
        <x:v>289850480</x:v>
      </x:c>
      <x:c r="G77" s="24" t="n">
        <x:v>13374480</x:v>
      </x:c>
      <x:c r="H77" s="25" t="n">
        <x:f>IFERROR(G77/F77,0)</x:f>
        <x:v>0.04614268708473417</x:v>
      </x:c>
      <x:c r="I77" s="23" t="str">
        <x:v>연결 완료</x:v>
      </x:c>
      <x:c r="J77" s="23" t="str">
        <x:v>t_shin_seunghyeon</x:v>
      </x:c>
      <x:c r="K77" s="26" t="str">
        <x:v>t_shin_seunghyeon</x:v>
      </x:c>
    </x:row>
    <x:row r="78">
      <x:c r="A78" s="22" t="str">
        <x:v>신승현</x:v>
      </x:c>
      <x:c r="B78" s="23" t="str">
        <x:v>신승현</x:v>
      </x:c>
      <x:c r="C78" s="23" t="str">
        <x:v>유지</x:v>
      </x:c>
      <x:c r="D78" s="23" t="str">
        <x:v>인천광역시</x:v>
      </x:c>
      <x:c r="E78" s="23" t="str">
        <x:v>서구</x:v>
      </x:c>
      <x:c r="F78" s="24"/>
      <x:c r="G78" s="24"/>
      <x:c r="H78" s="25" t="n">
        <x:f>IFERROR(G78/F78,0)</x:f>
        <x:v>0</x:v>
      </x:c>
      <x:c r="I78" s="23" t="str">
        <x:v>시도 확인 필요</x:v>
      </x:c>
      <x:c r="J78" s="23" t="str">
        <x:v>t_shin_seunghyeon</x:v>
      </x:c>
      <x:c r="K78" s="26" t="str">
        <x:v>t_shin_seunghyeon</x:v>
      </x:c>
    </x:row>
    <x:row r="79">
      <x:c r="A79" s="22" t="str">
        <x:v>신승현</x:v>
      </x:c>
      <x:c r="B79" s="23" t="str">
        <x:v>신승현</x:v>
      </x:c>
      <x:c r="C79" s="23" t="str">
        <x:v>유지</x:v>
      </x:c>
      <x:c r="D79" s="23" t="str">
        <x:v>인천광역시</x:v>
      </x:c>
      <x:c r="E79" s="23" t="str">
        <x:v>연수구</x:v>
      </x:c>
      <x:c r="F79" s="24" t="n">
        <x:v>646015104</x:v>
      </x:c>
      <x:c r="G79" s="24" t="n">
        <x:v>29563840</x:v>
      </x:c>
      <x:c r="H79" s="25" t="n">
        <x:f>IFERROR(G79/F79,0)</x:f>
        <x:v>0.045763388219480394</x:v>
      </x:c>
      <x:c r="I79" s="23" t="str">
        <x:v>연결 완료</x:v>
      </x:c>
      <x:c r="J79" s="23" t="str">
        <x:v>t_shin_seunghyeon</x:v>
      </x:c>
      <x:c r="K79" s="26" t="str">
        <x:v>t_shin_seunghyeon</x:v>
      </x:c>
    </x:row>
    <x:row r="80">
      <x:c r="A80" s="22" t="str">
        <x:v>신승현</x:v>
      </x:c>
      <x:c r="B80" s="23" t="str">
        <x:v>신승현</x:v>
      </x:c>
      <x:c r="C80" s="23" t="str">
        <x:v>유지</x:v>
      </x:c>
      <x:c r="D80" s="23" t="str">
        <x:v>인천광역시</x:v>
      </x:c>
      <x:c r="E80" s="23" t="str">
        <x:v>옹진군</x:v>
      </x:c>
      <x:c r="F80" s="24" t="n">
        <x:v>484000</x:v>
      </x:c>
      <x:c r="G80" s="24" t="n">
        <x:v>14390</x:v>
      </x:c>
      <x:c r="H80" s="25" t="n">
        <x:f>IFERROR(G80/F80,0)</x:f>
        <x:v>0.029731404958677685</x:v>
      </x:c>
      <x:c r="I80" s="23" t="str">
        <x:v>연결 완료</x:v>
      </x:c>
      <x:c r="J80" s="23" t="str">
        <x:v>t_shin_seunghyeon</x:v>
      </x:c>
      <x:c r="K80" s="26" t="str">
        <x:v>t_shin_seunghyeon</x:v>
      </x:c>
    </x:row>
    <x:row r="81">
      <x:c r="A81" s="22" t="str">
        <x:v>신승현</x:v>
      </x:c>
      <x:c r="B81" s="23" t="str">
        <x:v>신승현</x:v>
      </x:c>
      <x:c r="C81" s="23" t="str">
        <x:v>유지</x:v>
      </x:c>
      <x:c r="D81" s="23" t="str">
        <x:v>인천광역시</x:v>
      </x:c>
      <x:c r="E81" s="23" t="str">
        <x:v>중구</x:v>
      </x:c>
      <x:c r="F81" s="24"/>
      <x:c r="G81" s="24"/>
      <x:c r="H81" s="25" t="n">
        <x:f>IFERROR(G81/F81,0)</x:f>
        <x:v>0</x:v>
      </x:c>
      <x:c r="I81" s="23" t="str">
        <x:v>시도 확인 필요</x:v>
      </x:c>
      <x:c r="J81" s="23" t="str">
        <x:v>t_shin_seunghyeon</x:v>
      </x:c>
      <x:c r="K81" s="26" t="str">
        <x:v>t_shin_seunghyeon</x:v>
      </x:c>
    </x:row>
    <x:row r="82">
      <x:c r="A82" s="22" t="str">
        <x:v>이정일</x:v>
      </x:c>
      <x:c r="B82" s="23" t="str">
        <x:v>이정일</x:v>
      </x:c>
      <x:c r="C82" s="23" t="str">
        <x:v>유지</x:v>
      </x:c>
      <x:c r="D82" s="23" t="str">
        <x:v>경기도</x:v>
      </x:c>
      <x:c r="E82" s="23" t="str">
        <x:v>광주시</x:v>
      </x:c>
      <x:c r="F82" s="24" t="n">
        <x:v>211776400</x:v>
      </x:c>
      <x:c r="G82" s="24" t="n">
        <x:v>9440640</x:v>
      </x:c>
      <x:c r="H82" s="25" t="n">
        <x:f>IFERROR(G82/F82,0)</x:f>
        <x:v>0.04457833828509692</x:v>
      </x:c>
      <x:c r="I82" s="23" t="str">
        <x:v>연결 완료</x:v>
      </x:c>
      <x:c r="J82" s="23" t="str">
        <x:v>t_lee_jeongil</x:v>
      </x:c>
      <x:c r="K82" s="26" t="str">
        <x:v>t_lee_jeongil</x:v>
      </x:c>
    </x:row>
    <x:row r="83">
      <x:c r="A83" s="22" t="str">
        <x:v>이정일</x:v>
      </x:c>
      <x:c r="B83" s="23" t="str">
        <x:v>이정일</x:v>
      </x:c>
      <x:c r="C83" s="23" t="str">
        <x:v>유지</x:v>
      </x:c>
      <x:c r="D83" s="23" t="str">
        <x:v>경기도</x:v>
      </x:c>
      <x:c r="E83" s="23" t="str">
        <x:v>성남시 분당구</x:v>
      </x:c>
      <x:c r="F83" s="24" t="n">
        <x:v>1929885560</x:v>
      </x:c>
      <x:c r="G83" s="24" t="n">
        <x:v>84500020</x:v>
      </x:c>
      <x:c r="H83" s="25" t="n">
        <x:f>IFERROR(G83/F83,0)</x:f>
        <x:v>0.043784990028113376</x:v>
      </x:c>
      <x:c r="I83" s="23" t="str">
        <x:v>연결 완료</x:v>
      </x:c>
      <x:c r="J83" s="23" t="str">
        <x:v>t_lee_jeongil</x:v>
      </x:c>
      <x:c r="K83" s="26" t="str">
        <x:v>t_lee_jeongil</x:v>
      </x:c>
    </x:row>
    <x:row r="84">
      <x:c r="A84" s="22" t="str">
        <x:v>이정일</x:v>
      </x:c>
      <x:c r="B84" s="23" t="str">
        <x:v>이정일</x:v>
      </x:c>
      <x:c r="C84" s="23" t="str">
        <x:v>유지</x:v>
      </x:c>
      <x:c r="D84" s="23" t="str">
        <x:v>경기도</x:v>
      </x:c>
      <x:c r="E84" s="23" t="str">
        <x:v>성남시 수정구</x:v>
      </x:c>
      <x:c r="F84" s="24" t="n">
        <x:v>616586330</x:v>
      </x:c>
      <x:c r="G84" s="24" t="n">
        <x:v>26874640</x:v>
      </x:c>
      <x:c r="H84" s="25" t="n">
        <x:f>IFERROR(G84/F84,0)</x:f>
        <x:v>0.04358617551576273</x:v>
      </x:c>
      <x:c r="I84" s="23" t="str">
        <x:v>연결 완료</x:v>
      </x:c>
      <x:c r="J84" s="23" t="str">
        <x:v>t_lee_jeongil</x:v>
      </x:c>
      <x:c r="K84" s="26" t="str">
        <x:v>t_lee_jeongil</x:v>
      </x:c>
    </x:row>
    <x:row r="85">
      <x:c r="A85" s="22" t="str">
        <x:v>이정일</x:v>
      </x:c>
      <x:c r="B85" s="23" t="str">
        <x:v>이정일</x:v>
      </x:c>
      <x:c r="C85" s="23" t="str">
        <x:v>유지</x:v>
      </x:c>
      <x:c r="D85" s="23" t="str">
        <x:v>경기도</x:v>
      </x:c>
      <x:c r="E85" s="23" t="str">
        <x:v>성남시 중원구</x:v>
      </x:c>
      <x:c r="F85" s="24" t="n">
        <x:v>256687800</x:v>
      </x:c>
      <x:c r="G85" s="24" t="n">
        <x:v>10715860</x:v>
      </x:c>
      <x:c r="H85" s="25" t="n">
        <x:f>IFERROR(G85/F85,0)</x:f>
        <x:v>0.04174666657316787</x:v>
      </x:c>
      <x:c r="I85" s="23" t="str">
        <x:v>연결 완료</x:v>
      </x:c>
      <x:c r="J85" s="23" t="str">
        <x:v>t_lee_jeongil</x:v>
      </x:c>
      <x:c r="K85" s="26" t="str">
        <x:v>t_lee_jeongil</x:v>
      </x:c>
    </x:row>
    <x:row r="86">
      <x:c r="A86" s="22" t="str">
        <x:v>이현석</x:v>
      </x:c>
      <x:c r="B86" s="23" t="str">
        <x:v>이현석</x:v>
      </x:c>
      <x:c r="C86" s="23" t="str">
        <x:v>유지</x:v>
      </x:c>
      <x:c r="D86" s="23" t="str">
        <x:v>강원특별자치도</x:v>
      </x:c>
      <x:c r="E86" s="23" t="str">
        <x:v>원주시</x:v>
      </x:c>
      <x:c r="F86" s="24" t="n">
        <x:v>261862930</x:v>
      </x:c>
      <x:c r="G86" s="24" t="n">
        <x:v>11059590</x:v>
      </x:c>
      <x:c r="H86" s="25" t="n">
        <x:f>IFERROR(G86/F86,0)</x:f>
        <x:v>0.04223427118912937</x:v>
      </x:c>
      <x:c r="I86" s="23" t="str">
        <x:v>연결 완료</x:v>
      </x:c>
      <x:c r="J86" s="23" t="str">
        <x:v>t_lee_hyeonseok</x:v>
      </x:c>
      <x:c r="K86" s="26" t="str">
        <x:v>t_lee_hyeonseok</x:v>
      </x:c>
    </x:row>
    <x:row r="87">
      <x:c r="A87" s="22" t="str">
        <x:v>이현석</x:v>
      </x:c>
      <x:c r="B87" s="23" t="str">
        <x:v>이현석</x:v>
      </x:c>
      <x:c r="C87" s="23" t="str">
        <x:v>유지</x:v>
      </x:c>
      <x:c r="D87" s="23" t="str">
        <x:v>경기도</x:v>
      </x:c>
      <x:c r="E87" s="23" t="str">
        <x:v>김포시</x:v>
      </x:c>
      <x:c r="F87" s="24" t="n">
        <x:v>453872340</x:v>
      </x:c>
      <x:c r="G87" s="24" t="n">
        <x:v>20448700</x:v>
      </x:c>
      <x:c r="H87" s="25" t="n">
        <x:f>IFERROR(G87/F87,0)</x:f>
        <x:v>0.04505385809586898</x:v>
      </x:c>
      <x:c r="I87" s="23" t="str">
        <x:v>연결 완료</x:v>
      </x:c>
      <x:c r="J87" s="23" t="str">
        <x:v>t_lee_hyeonseok</x:v>
      </x:c>
      <x:c r="K87" s="26" t="str">
        <x:v>t_lee_hyeonseok</x:v>
      </x:c>
    </x:row>
    <x:row r="88">
      <x:c r="A88" s="22" t="str">
        <x:v>이현석</x:v>
      </x:c>
      <x:c r="B88" s="23" t="str">
        <x:v>이현석</x:v>
      </x:c>
      <x:c r="C88" s="23" t="str">
        <x:v>유지</x:v>
      </x:c>
      <x:c r="D88" s="23" t="str">
        <x:v>경기도</x:v>
      </x:c>
      <x:c r="E88" s="23" t="str">
        <x:v>부천시</x:v>
      </x:c>
      <x:c r="F88" s="24" t="n">
        <x:v>347704860</x:v>
      </x:c>
      <x:c r="G88" s="24" t="n">
        <x:v>15073690</x:v>
      </x:c>
      <x:c r="H88" s="25" t="n">
        <x:f>IFERROR(G88/F88,0)</x:f>
        <x:v>0.04335196810306304</x:v>
      </x:c>
      <x:c r="I88" s="23" t="str">
        <x:v>부천시 및 3개 구 합산</x:v>
      </x:c>
      <x:c r="J88" s="23" t="str">
        <x:v>t_lee_hyeonseok</x:v>
      </x:c>
      <x:c r="K88" s="26" t="str">
        <x:v>t_lee_hyeonseok</x:v>
      </x:c>
    </x:row>
    <x:row r="89">
      <x:c r="A89" s="22" t="str">
        <x:v>이현석</x:v>
      </x:c>
      <x:c r="B89" s="23" t="str">
        <x:v>이현석</x:v>
      </x:c>
      <x:c r="C89" s="23" t="str">
        <x:v>유지</x:v>
      </x:c>
      <x:c r="D89" s="23" t="str">
        <x:v>경기도</x:v>
      </x:c>
      <x:c r="E89" s="23" t="str">
        <x:v>여주시</x:v>
      </x:c>
      <x:c r="F89" s="24" t="n">
        <x:v>49069000</x:v>
      </x:c>
      <x:c r="G89" s="24" t="n">
        <x:v>2101080</x:v>
      </x:c>
      <x:c r="H89" s="25" t="n">
        <x:f>IFERROR(G89/F89,0)</x:f>
        <x:v>0.0428188876887648</x:v>
      </x:c>
      <x:c r="I89" s="23" t="str">
        <x:v>연결 완료</x:v>
      </x:c>
      <x:c r="J89" s="23" t="str">
        <x:v>t_lee_hyeonseok</x:v>
      </x:c>
      <x:c r="K89" s="26" t="str">
        <x:v>t_lee_hyeonseok</x:v>
      </x:c>
    </x:row>
    <x:row r="90">
      <x:c r="A90" s="22" t="str">
        <x:v>이현석</x:v>
      </x:c>
      <x:c r="B90" s="23" t="str">
        <x:v>이현석</x:v>
      </x:c>
      <x:c r="C90" s="23" t="str">
        <x:v>유지</x:v>
      </x:c>
      <x:c r="D90" s="23" t="str">
        <x:v>경기도</x:v>
      </x:c>
      <x:c r="E90" s="23" t="str">
        <x:v>이천시</x:v>
      </x:c>
      <x:c r="F90" s="24" t="n">
        <x:v>277550390</x:v>
      </x:c>
      <x:c r="G90" s="24" t="n">
        <x:v>11600440</x:v>
      </x:c>
      <x:c r="H90" s="25" t="n">
        <x:f>IFERROR(G90/F90,0)</x:f>
        <x:v>0.04179579787295561</x:v>
      </x:c>
      <x:c r="I90" s="23" t="str">
        <x:v>연결 완료</x:v>
      </x:c>
      <x:c r="J90" s="23" t="str">
        <x:v>t_lee_hyeonseok</x:v>
      </x:c>
      <x:c r="K90" s="26" t="str">
        <x:v>t_lee_hyeonseok</x:v>
      </x:c>
    </x:row>
    <x:row r="91">
      <x:c r="A91" s="22" t="str">
        <x:v>이현석</x:v>
      </x:c>
      <x:c r="B91" s="23" t="str">
        <x:v>이현석</x:v>
      </x:c>
      <x:c r="C91" s="23" t="str">
        <x:v>유지</x:v>
      </x:c>
      <x:c r="D91" s="23" t="str">
        <x:v>부산광역시</x:v>
      </x:c>
      <x:c r="E91" s="23" t="str">
        <x:v>강서구</x:v>
      </x:c>
      <x:c r="F91" s="24"/>
      <x:c r="G91" s="24"/>
      <x:c r="H91" s="25" t="n">
        <x:f>IFERROR(G91/F91,0)</x:f>
        <x:v>0</x:v>
      </x:c>
      <x:c r="I91" s="23" t="str">
        <x:v>시도 확인 필요</x:v>
      </x:c>
      <x:c r="J91" s="23" t="str">
        <x:v>t_lee_hyeonseok</x:v>
      </x:c>
      <x:c r="K91" s="26" t="str">
        <x:v>t_lee_hyeonseok</x:v>
      </x:c>
    </x:row>
    <x:row r="92">
      <x:c r="A92" s="22" t="str">
        <x:v>이현석</x:v>
      </x:c>
      <x:c r="B92" s="23" t="str">
        <x:v>이현석</x:v>
      </x:c>
      <x:c r="C92" s="23" t="str">
        <x:v>유지</x:v>
      </x:c>
      <x:c r="D92" s="23" t="str">
        <x:v>서울특별시</x:v>
      </x:c>
      <x:c r="E92" s="23" t="str">
        <x:v>강서구</x:v>
      </x:c>
      <x:c r="F92" s="24"/>
      <x:c r="G92" s="24"/>
      <x:c r="H92" s="25" t="n">
        <x:f>IFERROR(G92/F92,0)</x:f>
        <x:v>0</x:v>
      </x:c>
      <x:c r="I92" s="23" t="str">
        <x:v>시도 확인 필요</x:v>
      </x:c>
      <x:c r="J92" s="23" t="str">
        <x:v>t_lee_hyeonseok</x:v>
      </x:c>
      <x:c r="K92" s="26" t="str">
        <x:v>t_lee_hyeonseok</x:v>
      </x:c>
    </x:row>
    <x:row r="93">
      <x:c r="A93" s="22" t="str">
        <x:v>이현석</x:v>
      </x:c>
      <x:c r="B93" s="23" t="str">
        <x:v>이현석</x:v>
      </x:c>
      <x:c r="C93" s="23" t="str">
        <x:v>유지</x:v>
      </x:c>
      <x:c r="D93" s="23" t="str">
        <x:v>서울특별시</x:v>
      </x:c>
      <x:c r="E93" s="23" t="str">
        <x:v>구로구</x:v>
      </x:c>
      <x:c r="F93" s="24" t="n">
        <x:v>570569800</x:v>
      </x:c>
      <x:c r="G93" s="24" t="n">
        <x:v>25855630</x:v>
      </x:c>
      <x:c r="H93" s="25" t="n">
        <x:f>IFERROR(G93/F93,0)</x:f>
        <x:v>0.045315454831293206</x:v>
      </x:c>
      <x:c r="I93" s="23" t="str">
        <x:v>연결 완료</x:v>
      </x:c>
      <x:c r="J93" s="23" t="str">
        <x:v>t_lee_hyeonseok</x:v>
      </x:c>
      <x:c r="K93" s="26" t="str">
        <x:v>t_lee_hyeonseok</x:v>
      </x:c>
    </x:row>
    <x:row r="94">
      <x:c r="A94" s="22" t="str">
        <x:v>이현석</x:v>
      </x:c>
      <x:c r="B94" s="23" t="str">
        <x:v>이현석</x:v>
      </x:c>
      <x:c r="C94" s="23" t="str">
        <x:v>유지</x:v>
      </x:c>
      <x:c r="D94" s="23" t="str">
        <x:v>서울특별시</x:v>
      </x:c>
      <x:c r="E94" s="23" t="str">
        <x:v>양천구</x:v>
      </x:c>
      <x:c r="F94" s="24" t="n">
        <x:v>246806480</x:v>
      </x:c>
      <x:c r="G94" s="24" t="n">
        <x:v>10342610</x:v>
      </x:c>
      <x:c r="H94" s="25" t="n">
        <x:f>IFERROR(G94/F94,0)</x:f>
        <x:v>0.04190574736935594</x:v>
      </x:c>
      <x:c r="I94" s="23" t="str">
        <x:v>연결 완료</x:v>
      </x:c>
      <x:c r="J94" s="23" t="str">
        <x:v>t_lee_hyeonseok</x:v>
      </x:c>
      <x:c r="K94" s="26" t="str">
        <x:v>t_lee_hyeonseok</x:v>
      </x:c>
    </x:row>
    <x:row r="95">
      <x:c r="A95" s="22" t="str">
        <x:v>이현석</x:v>
      </x:c>
      <x:c r="B95" s="23" t="str">
        <x:v>이현석</x:v>
      </x:c>
      <x:c r="C95" s="23" t="str">
        <x:v>유지</x:v>
      </x:c>
      <x:c r="D95" s="23" t="str">
        <x:v>인천광역시</x:v>
      </x:c>
      <x:c r="E95" s="23" t="str">
        <x:v>강화군</x:v>
      </x:c>
      <x:c r="F95" s="24" t="n">
        <x:v>24762000</x:v>
      </x:c>
      <x:c r="G95" s="24" t="n">
        <x:v>899570</x:v>
      </x:c>
      <x:c r="H95" s="25" t="n">
        <x:f>IFERROR(G95/F95,0)</x:f>
        <x:v>0.0363286487359664</x:v>
      </x:c>
      <x:c r="I95" s="23" t="str">
        <x:v>연결 완료</x:v>
      </x:c>
      <x:c r="J95" s="23" t="str">
        <x:v>t_lee_hyeonseok</x:v>
      </x:c>
      <x:c r="K95" s="26" t="str">
        <x:v>t_lee_hyeonseok</x:v>
      </x:c>
    </x:row>
    <x:row r="96">
      <x:c r="A96" s="22" t="str">
        <x:v>이현석</x:v>
      </x:c>
      <x:c r="B96" s="23" t="str">
        <x:v>이현석</x:v>
      </x:c>
      <x:c r="C96" s="23" t="str">
        <x:v>유지</x:v>
      </x:c>
      <x:c r="D96" s="23" t="str">
        <x:v>충청남도</x:v>
      </x:c>
      <x:c r="E96" s="23" t="str">
        <x:v>당진시</x:v>
      </x:c>
      <x:c r="F96" s="24" t="n">
        <x:v>161399000</x:v>
      </x:c>
      <x:c r="G96" s="24" t="n">
        <x:v>7247680</x:v>
      </x:c>
      <x:c r="H96" s="25" t="n">
        <x:f>IFERROR(G96/F96,0)</x:f>
        <x:v>0.04490535876926127</x:v>
      </x:c>
      <x:c r="I96" s="23" t="str">
        <x:v>연결 완료</x:v>
      </x:c>
      <x:c r="J96" s="23" t="str">
        <x:v>t_lee_hyeonseok</x:v>
      </x:c>
      <x:c r="K96" s="26" t="str">
        <x:v>t_lee_hyeonseok</x:v>
      </x:c>
    </x:row>
    <x:row r="97">
      <x:c r="A97" s="22" t="str">
        <x:v>이현석</x:v>
      </x:c>
      <x:c r="B97" s="23" t="str">
        <x:v>이현석</x:v>
      </x:c>
      <x:c r="C97" s="23" t="str">
        <x:v>유지</x:v>
      </x:c>
      <x:c r="D97" s="23" t="str">
        <x:v>충청남도</x:v>
      </x:c>
      <x:c r="E97" s="23" t="str">
        <x:v>서산시</x:v>
      </x:c>
      <x:c r="F97" s="24" t="n">
        <x:v>147494520</x:v>
      </x:c>
      <x:c r="G97" s="24" t="n">
        <x:v>6036350</x:v>
      </x:c>
      <x:c r="H97" s="25" t="n">
        <x:f>IFERROR(G97/F97,0)</x:f>
        <x:v>0.040925927281908504</x:v>
      </x:c>
      <x:c r="I97" s="23" t="str">
        <x:v>연결 완료</x:v>
      </x:c>
      <x:c r="J97" s="23" t="str">
        <x:v>t_lee_hyeonseok</x:v>
      </x:c>
      <x:c r="K97" s="26" t="str">
        <x:v>t_lee_hyeonseok</x:v>
      </x:c>
    </x:row>
    <x:row r="98">
      <x:c r="A98" s="22" t="str">
        <x:v>이현석</x:v>
      </x:c>
      <x:c r="B98" s="23" t="str">
        <x:v>이현석</x:v>
      </x:c>
      <x:c r="C98" s="23" t="str">
        <x:v>유지</x:v>
      </x:c>
      <x:c r="D98" s="23" t="str">
        <x:v>충청남도</x:v>
      </x:c>
      <x:c r="E98" s="23" t="str">
        <x:v>아산시</x:v>
      </x:c>
      <x:c r="F98" s="24" t="n">
        <x:v>851012740</x:v>
      </x:c>
      <x:c r="G98" s="24" t="n">
        <x:v>35585120</x:v>
      </x:c>
      <x:c r="H98" s="25" t="n">
        <x:f>IFERROR(G98/F98,0)</x:f>
        <x:v>0.041815026176928914</x:v>
      </x:c>
      <x:c r="I98" s="23" t="str">
        <x:v>연결 완료</x:v>
      </x:c>
      <x:c r="J98" s="23" t="str">
        <x:v>t_lee_hyeonseok</x:v>
      </x:c>
      <x:c r="K98" s="26" t="str">
        <x:v>t_lee_hyeonseok</x:v>
      </x:c>
    </x:row>
    <x:row r="99">
      <x:c r="A99" s="22" t="str">
        <x:v>이현석</x:v>
      </x:c>
      <x:c r="B99" s="23" t="str">
        <x:v>이현석</x:v>
      </x:c>
      <x:c r="C99" s="23" t="str">
        <x:v>유지</x:v>
      </x:c>
      <x:c r="D99" s="23" t="str">
        <x:v>충청남도</x:v>
      </x:c>
      <x:c r="E99" s="23" t="str">
        <x:v>천안시 동남구</x:v>
      </x:c>
      <x:c r="F99" s="24" t="n">
        <x:v>359754000</x:v>
      </x:c>
      <x:c r="G99" s="24" t="n">
        <x:v>14299870</x:v>
      </x:c>
      <x:c r="H99" s="25" t="n">
        <x:f>IFERROR(G99/F99,0)</x:f>
        <x:v>0.03974902294345581</x:v>
      </x:c>
      <x:c r="I99" s="23" t="str">
        <x:v>연결 완료</x:v>
      </x:c>
      <x:c r="J99" s="23" t="str">
        <x:v>t_lee_hyeonseok</x:v>
      </x:c>
      <x:c r="K99" s="26" t="str">
        <x:v>t_lee_hyeonseok</x:v>
      </x:c>
    </x:row>
    <x:row r="100">
      <x:c r="A100" s="22" t="str">
        <x:v>이현석</x:v>
      </x:c>
      <x:c r="B100" s="23" t="str">
        <x:v>이현석</x:v>
      </x:c>
      <x:c r="C100" s="23" t="str">
        <x:v>유지</x:v>
      </x:c>
      <x:c r="D100" s="23" t="str">
        <x:v>충청남도</x:v>
      </x:c>
      <x:c r="E100" s="23" t="str">
        <x:v>천안시 서북구</x:v>
      </x:c>
      <x:c r="F100" s="24" t="n">
        <x:v>1076612370</x:v>
      </x:c>
      <x:c r="G100" s="24" t="n">
        <x:v>41385280</x:v>
      </x:c>
      <x:c r="H100" s="25" t="n">
        <x:f>IFERROR(G100/F100,0)</x:f>
        <x:v>0.03844027911364236</x:v>
      </x:c>
      <x:c r="I100" s="23" t="str">
        <x:v>연결 완료</x:v>
      </x:c>
      <x:c r="J100" s="23" t="str">
        <x:v>t_lee_hyeonseok</x:v>
      </x:c>
      <x:c r="K100" s="26" t="str">
        <x:v>t_lee_hyeonseok</x:v>
      </x:c>
    </x:row>
    <x:row r="101">
      <x:c r="A101" s="22" t="str">
        <x:v>이현석</x:v>
      </x:c>
      <x:c r="B101" s="23" t="str">
        <x:v>이현석</x:v>
      </x:c>
      <x:c r="C101" s="23" t="str">
        <x:v>유지</x:v>
      </x:c>
      <x:c r="D101" s="23" t="str">
        <x:v>충청남도</x:v>
      </x:c>
      <x:c r="E101" s="23" t="str">
        <x:v>태안군</x:v>
      </x:c>
      <x:c r="F101" s="24" t="n">
        <x:v>18704000</x:v>
      </x:c>
      <x:c r="G101" s="24" t="n">
        <x:v>680770</x:v>
      </x:c>
      <x:c r="H101" s="25" t="n">
        <x:f>IFERROR(G101/F101,0)</x:f>
        <x:v>0.03639702737382378</x:v>
      </x:c>
      <x:c r="I101" s="23" t="str">
        <x:v>연결 완료</x:v>
      </x:c>
      <x:c r="J101" s="23" t="str">
        <x:v>t_lee_hyeonseok</x:v>
      </x:c>
      <x:c r="K101" s="26" t="str">
        <x:v>t_lee_hyeonseok</x:v>
      </x:c>
    </x:row>
    <x:row r="102">
      <x:c r="A102" s="22" t="str">
        <x:v>이현석</x:v>
      </x:c>
      <x:c r="B102" s="23" t="str">
        <x:v>이현석</x:v>
      </x:c>
      <x:c r="C102" s="23" t="str">
        <x:v>유지</x:v>
      </x:c>
      <x:c r="D102" s="23" t="str">
        <x:v>충청북도</x:v>
      </x:c>
      <x:c r="E102" s="23" t="str">
        <x:v>음성군</x:v>
      </x:c>
      <x:c r="F102" s="24" t="n">
        <x:v>165076440</x:v>
      </x:c>
      <x:c r="G102" s="24" t="n">
        <x:v>6595080</x:v>
      </x:c>
      <x:c r="H102" s="25" t="n">
        <x:f>IFERROR(G102/F102,0)</x:f>
        <x:v>0.03995167329753416</x:v>
      </x:c>
      <x:c r="I102" s="23" t="str">
        <x:v>연결 완료</x:v>
      </x:c>
      <x:c r="J102" s="23" t="str">
        <x:v>t_lee_hyeonseok</x:v>
      </x:c>
      <x:c r="K102" s="26" t="str">
        <x:v>t_lee_hyeonseok</x:v>
      </x:c>
    </x:row>
    <x:row r="103">
      <x:c r="A103" s="22" t="str">
        <x:v>이현석</x:v>
      </x:c>
      <x:c r="B103" s="23" t="str">
        <x:v>이현석</x:v>
      </x:c>
      <x:c r="C103" s="23" t="str">
        <x:v>유지</x:v>
      </x:c>
      <x:c r="D103" s="23" t="str">
        <x:v>충청북도</x:v>
      </x:c>
      <x:c r="E103" s="23" t="str">
        <x:v>진천군</x:v>
      </x:c>
      <x:c r="F103" s="24" t="n">
        <x:v>95614000</x:v>
      </x:c>
      <x:c r="G103" s="24" t="n">
        <x:v>4148640</x:v>
      </x:c>
      <x:c r="H103" s="25" t="n">
        <x:f>IFERROR(G103/F103,0)</x:f>
        <x:v>0.04338946179429791</x:v>
      </x:c>
      <x:c r="I103" s="23" t="str">
        <x:v>연결 완료</x:v>
      </x:c>
      <x:c r="J103" s="23" t="str">
        <x:v>t_lee_hyeonseok</x:v>
      </x:c>
      <x:c r="K103" s="26" t="str">
        <x:v>t_lee_hyeonseok</x:v>
      </x:c>
    </x:row>
    <x:row r="104">
      <x:c r="A104" s="22" t="str">
        <x:v>미배정</x:v>
      </x:c>
      <x:c r="B104" s="23" t="str">
        <x:v>미배정</x:v>
      </x:c>
      <x:c r="C104" s="23" t="str">
        <x:v>유지</x:v>
      </x:c>
      <x:c r="D104" s="23" t="str">
        <x:v>강원특별자치도</x:v>
      </x:c>
      <x:c r="E104" s="23" t="str">
        <x:v>강릉시</x:v>
      </x:c>
      <x:c r="F104" s="24" t="n">
        <x:v>100576120</x:v>
      </x:c>
      <x:c r="G104" s="24" t="n">
        <x:v>4134230</x:v>
      </x:c>
      <x:c r="H104" s="25" t="n">
        <x:f>IFERROR(G104/F104,0)</x:f>
        <x:v>0.041105483090817185</x:v>
      </x:c>
      <x:c r="I104" s="23" t="str">
        <x:v>연결 완료</x:v>
      </x:c>
      <x:c r="J104" s="23" t="str">
        <x:v>unassigned</x:v>
      </x:c>
      <x:c r="K104" s="26" t="str">
        <x:v>unassigned</x:v>
      </x:c>
    </x:row>
    <x:row r="105">
      <x:c r="A105" s="22" t="str">
        <x:v>미배정</x:v>
      </x:c>
      <x:c r="B105" s="23" t="str">
        <x:v>미배정</x:v>
      </x:c>
      <x:c r="C105" s="23" t="str">
        <x:v>유지</x:v>
      </x:c>
      <x:c r="D105" s="23" t="str">
        <x:v>강원특별자치도</x:v>
      </x:c>
      <x:c r="E105" s="23" t="str">
        <x:v>고성군</x:v>
      </x:c>
      <x:c r="F105" s="24"/>
      <x:c r="G105" s="24"/>
      <x:c r="H105" s="25" t="n">
        <x:f>IFERROR(G105/F105,0)</x:f>
        <x:v>0</x:v>
      </x:c>
      <x:c r="I105" s="23" t="str">
        <x:v>시도 확인 필요</x:v>
      </x:c>
      <x:c r="J105" s="23" t="str">
        <x:v>unassigned</x:v>
      </x:c>
      <x:c r="K105" s="26" t="str">
        <x:v>unassigned</x:v>
      </x:c>
    </x:row>
    <x:row r="106">
      <x:c r="A106" s="22" t="str">
        <x:v>미배정</x:v>
      </x:c>
      <x:c r="B106" s="23" t="str">
        <x:v>미배정</x:v>
      </x:c>
      <x:c r="C106" s="23" t="str">
        <x:v>유지</x:v>
      </x:c>
      <x:c r="D106" s="23" t="str">
        <x:v>강원특별자치도</x:v>
      </x:c>
      <x:c r="E106" s="23" t="str">
        <x:v>동해시</x:v>
      </x:c>
      <x:c r="F106" s="24" t="n">
        <x:v>23131000</x:v>
      </x:c>
      <x:c r="G106" s="24" t="n">
        <x:v>971440</x:v>
      </x:c>
      <x:c r="H106" s="25" t="n">
        <x:f>IFERROR(G106/F106,0)</x:f>
        <x:v>0.041997319614370324</x:v>
      </x:c>
      <x:c r="I106" s="23" t="str">
        <x:v>연결 완료</x:v>
      </x:c>
      <x:c r="J106" s="23" t="str">
        <x:v>unassigned</x:v>
      </x:c>
      <x:c r="K106" s="26" t="str">
        <x:v>unassigned</x:v>
      </x:c>
    </x:row>
    <x:row r="107">
      <x:c r="A107" s="22" t="str">
        <x:v>미배정</x:v>
      </x:c>
      <x:c r="B107" s="23" t="str">
        <x:v>미배정</x:v>
      </x:c>
      <x:c r="C107" s="23" t="str">
        <x:v>유지</x:v>
      </x:c>
      <x:c r="D107" s="23" t="str">
        <x:v>강원특별자치도</x:v>
      </x:c>
      <x:c r="E107" s="23" t="str">
        <x:v>삼척시</x:v>
      </x:c>
      <x:c r="F107" s="24" t="n">
        <x:v>11492000</x:v>
      </x:c>
      <x:c r="G107" s="24" t="n">
        <x:v>564160</x:v>
      </x:c>
      <x:c r="H107" s="25" t="n">
        <x:f>IFERROR(G107/F107,0)</x:f>
        <x:v>0.04909154194222067</x:v>
      </x:c>
      <x:c r="I107" s="23" t="str">
        <x:v>연결 완료</x:v>
      </x:c>
      <x:c r="J107" s="23" t="str">
        <x:v>unassigned</x:v>
      </x:c>
      <x:c r="K107" s="26" t="str">
        <x:v>unassigned</x:v>
      </x:c>
    </x:row>
    <x:row r="108">
      <x:c r="A108" s="22" t="str">
        <x:v>미배정</x:v>
      </x:c>
      <x:c r="B108" s="23" t="str">
        <x:v>미배정</x:v>
      </x:c>
      <x:c r="C108" s="23" t="str">
        <x:v>유지</x:v>
      </x:c>
      <x:c r="D108" s="23" t="str">
        <x:v>강원특별자치도</x:v>
      </x:c>
      <x:c r="E108" s="23" t="str">
        <x:v>속초시</x:v>
      </x:c>
      <x:c r="F108" s="24" t="n">
        <x:v>36612000</x:v>
      </x:c>
      <x:c r="G108" s="24" t="n">
        <x:v>1806850</x:v>
      </x:c>
      <x:c r="H108" s="25" t="n">
        <x:f>IFERROR(G108/F108,0)</x:f>
        <x:v>0.04935130558286901</x:v>
      </x:c>
      <x:c r="I108" s="23" t="str">
        <x:v>연결 완료</x:v>
      </x:c>
      <x:c r="J108" s="23" t="str">
        <x:v>unassigned</x:v>
      </x:c>
      <x:c r="K108" s="26" t="str">
        <x:v>unassigned</x:v>
      </x:c>
    </x:row>
    <x:row r="109">
      <x:c r="A109" s="22" t="str">
        <x:v>미배정</x:v>
      </x:c>
      <x:c r="B109" s="23" t="str">
        <x:v>미배정</x:v>
      </x:c>
      <x:c r="C109" s="23" t="str">
        <x:v>유지</x:v>
      </x:c>
      <x:c r="D109" s="23" t="str">
        <x:v>강원특별자치도</x:v>
      </x:c>
      <x:c r="E109" s="23" t="str">
        <x:v>양구군</x:v>
      </x:c>
      <x:c r="F109" s="24" t="n">
        <x:v>1332000</x:v>
      </x:c>
      <x:c r="G109" s="24" t="n">
        <x:v>43580</x:v>
      </x:c>
      <x:c r="H109" s="25" t="n">
        <x:f>IFERROR(G109/F109,0)</x:f>
        <x:v>0.03271771771771772</x:v>
      </x:c>
      <x:c r="I109" s="23" t="str">
        <x:v>연결 완료</x:v>
      </x:c>
      <x:c r="J109" s="23" t="str">
        <x:v>unassigned</x:v>
      </x:c>
      <x:c r="K109" s="26" t="str">
        <x:v>unassigned</x:v>
      </x:c>
    </x:row>
    <x:row r="110">
      <x:c r="A110" s="22" t="str">
        <x:v>미배정</x:v>
      </x:c>
      <x:c r="B110" s="23" t="str">
        <x:v>미배정</x:v>
      </x:c>
      <x:c r="C110" s="23" t="str">
        <x:v>유지</x:v>
      </x:c>
      <x:c r="D110" s="23" t="str">
        <x:v>강원특별자치도</x:v>
      </x:c>
      <x:c r="E110" s="23" t="str">
        <x:v>양양군</x:v>
      </x:c>
      <x:c r="F110" s="24" t="n">
        <x:v>10657000</x:v>
      </x:c>
      <x:c r="G110" s="24" t="n">
        <x:v>534090</x:v>
      </x:c>
      <x:c r="H110" s="25" t="n">
        <x:f>IFERROR(G110/F110,0)</x:f>
        <x:v>0.05011635544712396</x:v>
      </x:c>
      <x:c r="I110" s="23" t="str">
        <x:v>연결 완료</x:v>
      </x:c>
      <x:c r="J110" s="23" t="str">
        <x:v>unassigned</x:v>
      </x:c>
      <x:c r="K110" s="26" t="str">
        <x:v>unassigned</x:v>
      </x:c>
    </x:row>
    <x:row r="111">
      <x:c r="A111" s="22" t="str">
        <x:v>미배정</x:v>
      </x:c>
      <x:c r="B111" s="23" t="str">
        <x:v>미배정</x:v>
      </x:c>
      <x:c r="C111" s="23" t="str">
        <x:v>유지</x:v>
      </x:c>
      <x:c r="D111" s="23" t="str">
        <x:v>강원특별자치도</x:v>
      </x:c>
      <x:c r="E111" s="23" t="str">
        <x:v>영월군</x:v>
      </x:c>
      <x:c r="F111" s="24" t="n">
        <x:v>10339000</x:v>
      </x:c>
      <x:c r="G111" s="24" t="n">
        <x:v>319620</x:v>
      </x:c>
      <x:c r="H111" s="25" t="n">
        <x:f>IFERROR(G111/F111,0)</x:f>
        <x:v>0.03091401489505755</x:v>
      </x:c>
      <x:c r="I111" s="23" t="str">
        <x:v>연결 완료</x:v>
      </x:c>
      <x:c r="J111" s="23" t="str">
        <x:v>unassigned</x:v>
      </x:c>
      <x:c r="K111" s="26" t="str">
        <x:v>unassigned</x:v>
      </x:c>
    </x:row>
    <x:row r="112">
      <x:c r="A112" s="22" t="str">
        <x:v>미배정</x:v>
      </x:c>
      <x:c r="B112" s="23" t="str">
        <x:v>미배정</x:v>
      </x:c>
      <x:c r="C112" s="23" t="str">
        <x:v>유지</x:v>
      </x:c>
      <x:c r="D112" s="23" t="str">
        <x:v>강원특별자치도</x:v>
      </x:c>
      <x:c r="E112" s="23" t="str">
        <x:v>인제군</x:v>
      </x:c>
      <x:c r="F112" s="24" t="n">
        <x:v>19442000</x:v>
      </x:c>
      <x:c r="G112" s="24" t="n">
        <x:v>1064270</x:v>
      </x:c>
      <x:c r="H112" s="25" t="n">
        <x:f>IFERROR(G112/F112,0)</x:f>
        <x:v>0.05474076741076021</x:v>
      </x:c>
      <x:c r="I112" s="23" t="str">
        <x:v>연결 완료</x:v>
      </x:c>
      <x:c r="J112" s="23" t="str">
        <x:v>unassigned</x:v>
      </x:c>
      <x:c r="K112" s="26" t="str">
        <x:v>unassigned</x:v>
      </x:c>
    </x:row>
    <x:row r="113">
      <x:c r="A113" s="22" t="str">
        <x:v>미배정</x:v>
      </x:c>
      <x:c r="B113" s="23" t="str">
        <x:v>미배정</x:v>
      </x:c>
      <x:c r="C113" s="23" t="str">
        <x:v>유지</x:v>
      </x:c>
      <x:c r="D113" s="23" t="str">
        <x:v>강원특별자치도</x:v>
      </x:c>
      <x:c r="E113" s="23" t="str">
        <x:v>정선군</x:v>
      </x:c>
      <x:c r="F113" s="24" t="n">
        <x:v>6906000</x:v>
      </x:c>
      <x:c r="G113" s="24" t="n">
        <x:v>285460</x:v>
      </x:c>
      <x:c r="H113" s="25" t="n">
        <x:f>IFERROR(G113/F113,0)</x:f>
        <x:v>0.04133507095279467</x:v>
      </x:c>
      <x:c r="I113" s="23" t="str">
        <x:v>연결 완료</x:v>
      </x:c>
      <x:c r="J113" s="23" t="str">
        <x:v>unassigned</x:v>
      </x:c>
      <x:c r="K113" s="26" t="str">
        <x:v>unassigned</x:v>
      </x:c>
    </x:row>
    <x:row r="114">
      <x:c r="A114" s="22" t="str">
        <x:v>미배정</x:v>
      </x:c>
      <x:c r="B114" s="23" t="str">
        <x:v>미배정</x:v>
      </x:c>
      <x:c r="C114" s="23" t="str">
        <x:v>유지</x:v>
      </x:c>
      <x:c r="D114" s="23" t="str">
        <x:v>강원특별자치도</x:v>
      </x:c>
      <x:c r="E114" s="23" t="str">
        <x:v>춘천시</x:v>
      </x:c>
      <x:c r="F114" s="24" t="n">
        <x:v>205918240</x:v>
      </x:c>
      <x:c r="G114" s="24" t="n">
        <x:v>9494720</x:v>
      </x:c>
      <x:c r="H114" s="25" t="n">
        <x:f>IFERROR(G114/F114,0)</x:f>
        <x:v>0.046109174204286126</x:v>
      </x:c>
      <x:c r="I114" s="23" t="str">
        <x:v>연결 완료</x:v>
      </x:c>
      <x:c r="J114" s="23" t="str">
        <x:v>unassigned</x:v>
      </x:c>
      <x:c r="K114" s="26" t="str">
        <x:v>unassigned</x:v>
      </x:c>
    </x:row>
    <x:row r="115">
      <x:c r="A115" s="22" t="str">
        <x:v>미배정</x:v>
      </x:c>
      <x:c r="B115" s="23" t="str">
        <x:v>미배정</x:v>
      </x:c>
      <x:c r="C115" s="23" t="str">
        <x:v>유지</x:v>
      </x:c>
      <x:c r="D115" s="23" t="str">
        <x:v>강원특별자치도</x:v>
      </x:c>
      <x:c r="E115" s="23" t="str">
        <x:v>태백시</x:v>
      </x:c>
      <x:c r="F115" s="24" t="n">
        <x:v>6980000</x:v>
      </x:c>
      <x:c r="G115" s="24" t="n">
        <x:v>343470</x:v>
      </x:c>
      <x:c r="H115" s="25" t="n">
        <x:f>IFERROR(G115/F115,0)</x:f>
        <x:v>0.049207736389684814</x:v>
      </x:c>
      <x:c r="I115" s="23" t="str">
        <x:v>연결 완료</x:v>
      </x:c>
      <x:c r="J115" s="23" t="str">
        <x:v>unassigned</x:v>
      </x:c>
      <x:c r="K115" s="26" t="str">
        <x:v>unassigned</x:v>
      </x:c>
    </x:row>
    <x:row r="116">
      <x:c r="A116" s="22" t="str">
        <x:v>미배정</x:v>
      </x:c>
      <x:c r="B116" s="23" t="str">
        <x:v>미배정</x:v>
      </x:c>
      <x:c r="C116" s="23" t="str">
        <x:v>유지</x:v>
      </x:c>
      <x:c r="D116" s="23" t="str">
        <x:v>강원특별자치도</x:v>
      </x:c>
      <x:c r="E116" s="23" t="str">
        <x:v>평창군</x:v>
      </x:c>
      <x:c r="F116" s="24" t="n">
        <x:v>24194000</x:v>
      </x:c>
      <x:c r="G116" s="24" t="n">
        <x:v>1014220</x:v>
      </x:c>
      <x:c r="H116" s="25" t="n">
        <x:f>IFERROR(G116/F116,0)</x:f>
        <x:v>0.04192031082086468</x:v>
      </x:c>
      <x:c r="I116" s="23" t="str">
        <x:v>연결 완료</x:v>
      </x:c>
      <x:c r="J116" s="23" t="str">
        <x:v>unassigned</x:v>
      </x:c>
      <x:c r="K116" s="26" t="str">
        <x:v>unassigned</x:v>
      </x:c>
    </x:row>
    <x:row r="117">
      <x:c r="A117" s="22" t="str">
        <x:v>미배정</x:v>
      </x:c>
      <x:c r="B117" s="23" t="str">
        <x:v>미배정</x:v>
      </x:c>
      <x:c r="C117" s="23" t="str">
        <x:v>유지</x:v>
      </x:c>
      <x:c r="D117" s="23" t="str">
        <x:v>강원특별자치도</x:v>
      </x:c>
      <x:c r="E117" s="23" t="str">
        <x:v>홍천군</x:v>
      </x:c>
      <x:c r="F117" s="24" t="n">
        <x:v>17479000</x:v>
      </x:c>
      <x:c r="G117" s="24" t="n">
        <x:v>634580</x:v>
      </x:c>
      <x:c r="H117" s="25" t="n">
        <x:f>IFERROR(G117/F117,0)</x:f>
        <x:v>0.03630528062246124</x:v>
      </x:c>
      <x:c r="I117" s="23" t="str">
        <x:v>연결 완료</x:v>
      </x:c>
      <x:c r="J117" s="23" t="str">
        <x:v>unassigned</x:v>
      </x:c>
      <x:c r="K117" s="26" t="str">
        <x:v>unassigned</x:v>
      </x:c>
    </x:row>
    <x:row r="118">
      <x:c r="A118" s="22" t="str">
        <x:v>미배정</x:v>
      </x:c>
      <x:c r="B118" s="23" t="str">
        <x:v>미배정</x:v>
      </x:c>
      <x:c r="C118" s="23" t="str">
        <x:v>유지</x:v>
      </x:c>
      <x:c r="D118" s="23" t="str">
        <x:v>강원특별자치도</x:v>
      </x:c>
      <x:c r="E118" s="23" t="str">
        <x:v>화천군</x:v>
      </x:c>
      <x:c r="F118" s="24" t="n">
        <x:v>1986000</x:v>
      </x:c>
      <x:c r="G118" s="24" t="n">
        <x:v>89590</x:v>
      </x:c>
      <x:c r="H118" s="25" t="n">
        <x:f>IFERROR(G118/F118,0)</x:f>
        <x:v>0.04511077542799597</x:v>
      </x:c>
      <x:c r="I118" s="23" t="str">
        <x:v>연결 완료</x:v>
      </x:c>
      <x:c r="J118" s="23" t="str">
        <x:v>unassigned</x:v>
      </x:c>
      <x:c r="K118" s="26" t="str">
        <x:v>unassigned</x:v>
      </x:c>
    </x:row>
    <x:row r="119">
      <x:c r="A119" s="22" t="str">
        <x:v>미배정</x:v>
      </x:c>
      <x:c r="B119" s="23" t="str">
        <x:v>미배정</x:v>
      </x:c>
      <x:c r="C119" s="23" t="str">
        <x:v>유지</x:v>
      </x:c>
      <x:c r="D119" s="23" t="str">
        <x:v>강원특별자치도</x:v>
      </x:c>
      <x:c r="E119" s="23" t="str">
        <x:v>횡성군</x:v>
      </x:c>
      <x:c r="F119" s="24" t="n">
        <x:v>23564020</x:v>
      </x:c>
      <x:c r="G119" s="24" t="n">
        <x:v>1073190</x:v>
      </x:c>
      <x:c r="H119" s="25" t="n">
        <x:f>IFERROR(G119/F119,0)</x:f>
        <x:v>0.04554358721474519</x:v>
      </x:c>
      <x:c r="I119" s="23" t="str">
        <x:v>연결 완료</x:v>
      </x:c>
      <x:c r="J119" s="23" t="str">
        <x:v>unassigned</x:v>
      </x:c>
      <x:c r="K119" s="26" t="str">
        <x:v>unassigned</x:v>
      </x:c>
    </x:row>
    <x:row r="120">
      <x:c r="A120" s="22" t="str">
        <x:v>미배정</x:v>
      </x:c>
      <x:c r="B120" s="23" t="str">
        <x:v>미배정</x:v>
      </x:c>
      <x:c r="C120" s="23" t="str">
        <x:v>유지</x:v>
      </x:c>
      <x:c r="D120" s="23" t="str">
        <x:v>경기도</x:v>
      </x:c>
      <x:c r="E120" s="23" t="str">
        <x:v>가평군</x:v>
      </x:c>
      <x:c r="F120" s="24" t="n">
        <x:v>45918000</x:v>
      </x:c>
      <x:c r="G120" s="24" t="n">
        <x:v>2310220</x:v>
      </x:c>
      <x:c r="H120" s="25" t="n">
        <x:f>IFERROR(G120/F120,0)</x:f>
        <x:v>0.05031186027265996</x:v>
      </x:c>
      <x:c r="I120" s="23" t="str">
        <x:v>연결 완료</x:v>
      </x:c>
      <x:c r="J120" s="23" t="str">
        <x:v>unassigned</x:v>
      </x:c>
      <x:c r="K120" s="26" t="str">
        <x:v>unassigned</x:v>
      </x:c>
    </x:row>
    <x:row r="121">
      <x:c r="A121" s="22" t="str">
        <x:v>미배정</x:v>
      </x:c>
      <x:c r="B121" s="23" t="str">
        <x:v>미배정</x:v>
      </x:c>
      <x:c r="C121" s="23" t="str">
        <x:v>유지</x:v>
      </x:c>
      <x:c r="D121" s="23" t="str">
        <x:v>경기도</x:v>
      </x:c>
      <x:c r="E121" s="23" t="str">
        <x:v>양평군</x:v>
      </x:c>
      <x:c r="F121" s="24" t="n">
        <x:v>34579800</x:v>
      </x:c>
      <x:c r="G121" s="24" t="n">
        <x:v>1833600</x:v>
      </x:c>
      <x:c r="H121" s="25" t="n">
        <x:f>IFERROR(G121/F121,0)</x:f>
        <x:v>0.05302517654815817</x:v>
      </x:c>
      <x:c r="I121" s="23" t="str">
        <x:v>연결 완료</x:v>
      </x:c>
      <x:c r="J121" s="23" t="str">
        <x:v>unassigned</x:v>
      </x:c>
      <x:c r="K121" s="26" t="str">
        <x:v>unassigned</x:v>
      </x:c>
    </x:row>
    <x:row r="122">
      <x:c r="A122" s="22" t="str">
        <x:v>미배정</x:v>
      </x:c>
      <x:c r="B122" s="23" t="str">
        <x:v>미배정</x:v>
      </x:c>
      <x:c r="C122" s="23" t="str">
        <x:v>유지</x:v>
      </x:c>
      <x:c r="D122" s="23" t="str">
        <x:v>경상남도</x:v>
      </x:c>
      <x:c r="E122" s="23" t="str">
        <x:v>거제시</x:v>
      </x:c>
      <x:c r="F122" s="24"/>
      <x:c r="G122" s="24"/>
      <x:c r="H122" s="25" t="n">
        <x:f>IFERROR(G122/F122,0)</x:f>
        <x:v>0</x:v>
      </x:c>
      <x:c r="I122" s="23" t="str">
        <x:v>데이터 없음</x:v>
      </x:c>
      <x:c r="J122" s="23" t="str">
        <x:v>unassigned</x:v>
      </x:c>
      <x:c r="K122" s="26" t="str">
        <x:v>unassigned</x:v>
      </x:c>
    </x:row>
    <x:row r="123">
      <x:c r="A123" s="22" t="str">
        <x:v>미배정</x:v>
      </x:c>
      <x:c r="B123" s="23" t="str">
        <x:v>미배정</x:v>
      </x:c>
      <x:c r="C123" s="23" t="str">
        <x:v>유지</x:v>
      </x:c>
      <x:c r="D123" s="23" t="str">
        <x:v>경상남도</x:v>
      </x:c>
      <x:c r="E123" s="23" t="str">
        <x:v>거창군</x:v>
      </x:c>
      <x:c r="F123" s="24"/>
      <x:c r="G123" s="24"/>
      <x:c r="H123" s="25" t="n">
        <x:f>IFERROR(G123/F123,0)</x:f>
        <x:v>0</x:v>
      </x:c>
      <x:c r="I123" s="23" t="str">
        <x:v>데이터 없음</x:v>
      </x:c>
      <x:c r="J123" s="23" t="str">
        <x:v>unassigned</x:v>
      </x:c>
      <x:c r="K123" s="26" t="str">
        <x:v>unassigned</x:v>
      </x:c>
    </x:row>
    <x:row r="124">
      <x:c r="A124" s="22" t="str">
        <x:v>미배정</x:v>
      </x:c>
      <x:c r="B124" s="23" t="str">
        <x:v>미배정</x:v>
      </x:c>
      <x:c r="C124" s="23" t="str">
        <x:v>유지</x:v>
      </x:c>
      <x:c r="D124" s="23" t="str">
        <x:v>경상남도</x:v>
      </x:c>
      <x:c r="E124" s="23" t="str">
        <x:v>고성군</x:v>
      </x:c>
      <x:c r="F124" s="24"/>
      <x:c r="G124" s="24"/>
      <x:c r="H124" s="25" t="n">
        <x:f>IFERROR(G124/F124,0)</x:f>
        <x:v>0</x:v>
      </x:c>
      <x:c r="I124" s="23" t="str">
        <x:v>시도 확인 필요</x:v>
      </x:c>
      <x:c r="J124" s="23" t="str">
        <x:v>unassigned</x:v>
      </x:c>
      <x:c r="K124" s="26" t="str">
        <x:v>unassigned</x:v>
      </x:c>
    </x:row>
    <x:row r="125">
      <x:c r="A125" s="22" t="str">
        <x:v>미배정</x:v>
      </x:c>
      <x:c r="B125" s="23" t="str">
        <x:v>미배정</x:v>
      </x:c>
      <x:c r="C125" s="23" t="str">
        <x:v>유지</x:v>
      </x:c>
      <x:c r="D125" s="23" t="str">
        <x:v>경상남도</x:v>
      </x:c>
      <x:c r="E125" s="23" t="str">
        <x:v>김해시</x:v>
      </x:c>
      <x:c r="F125" s="24"/>
      <x:c r="G125" s="24"/>
      <x:c r="H125" s="25" t="n">
        <x:f>IFERROR(G125/F125,0)</x:f>
        <x:v>0</x:v>
      </x:c>
      <x:c r="I125" s="23" t="str">
        <x:v>데이터 없음</x:v>
      </x:c>
      <x:c r="J125" s="23" t="str">
        <x:v>unassigned</x:v>
      </x:c>
      <x:c r="K125" s="26" t="str">
        <x:v>unassigned</x:v>
      </x:c>
    </x:row>
    <x:row r="126">
      <x:c r="A126" s="22" t="str">
        <x:v>미배정</x:v>
      </x:c>
      <x:c r="B126" s="23" t="str">
        <x:v>미배정</x:v>
      </x:c>
      <x:c r="C126" s="23" t="str">
        <x:v>유지</x:v>
      </x:c>
      <x:c r="D126" s="23" t="str">
        <x:v>경상남도</x:v>
      </x:c>
      <x:c r="E126" s="23" t="str">
        <x:v>남해군</x:v>
      </x:c>
      <x:c r="F126" s="24"/>
      <x:c r="G126" s="24"/>
      <x:c r="H126" s="25" t="n">
        <x:f>IFERROR(G126/F126,0)</x:f>
        <x:v>0</x:v>
      </x:c>
      <x:c r="I126" s="23" t="str">
        <x:v>데이터 없음</x:v>
      </x:c>
      <x:c r="J126" s="23" t="str">
        <x:v>unassigned</x:v>
      </x:c>
      <x:c r="K126" s="26" t="str">
        <x:v>unassigned</x:v>
      </x:c>
    </x:row>
    <x:row r="127">
      <x:c r="A127" s="22" t="str">
        <x:v>미배정</x:v>
      </x:c>
      <x:c r="B127" s="23" t="str">
        <x:v>미배정</x:v>
      </x:c>
      <x:c r="C127" s="23" t="str">
        <x:v>유지</x:v>
      </x:c>
      <x:c r="D127" s="23" t="str">
        <x:v>경상남도</x:v>
      </x:c>
      <x:c r="E127" s="23" t="str">
        <x:v>밀양시</x:v>
      </x:c>
      <x:c r="F127" s="24"/>
      <x:c r="G127" s="24"/>
      <x:c r="H127" s="25" t="n">
        <x:f>IFERROR(G127/F127,0)</x:f>
        <x:v>0</x:v>
      </x:c>
      <x:c r="I127" s="23" t="str">
        <x:v>데이터 없음</x:v>
      </x:c>
      <x:c r="J127" s="23" t="str">
        <x:v>unassigned</x:v>
      </x:c>
      <x:c r="K127" s="26" t="str">
        <x:v>unassigned</x:v>
      </x:c>
    </x:row>
    <x:row r="128">
      <x:c r="A128" s="22" t="str">
        <x:v>미배정</x:v>
      </x:c>
      <x:c r="B128" s="23" t="str">
        <x:v>미배정</x:v>
      </x:c>
      <x:c r="C128" s="23" t="str">
        <x:v>유지</x:v>
      </x:c>
      <x:c r="D128" s="23" t="str">
        <x:v>경상남도</x:v>
      </x:c>
      <x:c r="E128" s="23" t="str">
        <x:v>사천시</x:v>
      </x:c>
      <x:c r="F128" s="24"/>
      <x:c r="G128" s="24"/>
      <x:c r="H128" s="25" t="n">
        <x:f>IFERROR(G128/F128,0)</x:f>
        <x:v>0</x:v>
      </x:c>
      <x:c r="I128" s="23" t="str">
        <x:v>데이터 없음</x:v>
      </x:c>
      <x:c r="J128" s="23" t="str">
        <x:v>unassigned</x:v>
      </x:c>
      <x:c r="K128" s="26" t="str">
        <x:v>unassigned</x:v>
      </x:c>
    </x:row>
    <x:row r="129">
      <x:c r="A129" s="22" t="str">
        <x:v>미배정</x:v>
      </x:c>
      <x:c r="B129" s="23" t="str">
        <x:v>미배정</x:v>
      </x:c>
      <x:c r="C129" s="23" t="str">
        <x:v>유지</x:v>
      </x:c>
      <x:c r="D129" s="23" t="str">
        <x:v>경상남도</x:v>
      </x:c>
      <x:c r="E129" s="23" t="str">
        <x:v>산청군</x:v>
      </x:c>
      <x:c r="F129" s="24"/>
      <x:c r="G129" s="24"/>
      <x:c r="H129" s="25" t="n">
        <x:f>IFERROR(G129/F129,0)</x:f>
        <x:v>0</x:v>
      </x:c>
      <x:c r="I129" s="23" t="str">
        <x:v>데이터 없음</x:v>
      </x:c>
      <x:c r="J129" s="23" t="str">
        <x:v>unassigned</x:v>
      </x:c>
      <x:c r="K129" s="26" t="str">
        <x:v>unassigned</x:v>
      </x:c>
    </x:row>
    <x:row r="130">
      <x:c r="A130" s="22" t="str">
        <x:v>미배정</x:v>
      </x:c>
      <x:c r="B130" s="23" t="str">
        <x:v>미배정</x:v>
      </x:c>
      <x:c r="C130" s="23" t="str">
        <x:v>유지</x:v>
      </x:c>
      <x:c r="D130" s="23" t="str">
        <x:v>경상남도</x:v>
      </x:c>
      <x:c r="E130" s="23" t="str">
        <x:v>양산시</x:v>
      </x:c>
      <x:c r="F130" s="24"/>
      <x:c r="G130" s="24"/>
      <x:c r="H130" s="25" t="n">
        <x:f>IFERROR(G130/F130,0)</x:f>
        <x:v>0</x:v>
      </x:c>
      <x:c r="I130" s="23" t="str">
        <x:v>데이터 없음</x:v>
      </x:c>
      <x:c r="J130" s="23" t="str">
        <x:v>unassigned</x:v>
      </x:c>
      <x:c r="K130" s="26" t="str">
        <x:v>unassigned</x:v>
      </x:c>
    </x:row>
    <x:row r="131">
      <x:c r="A131" s="22" t="str">
        <x:v>미배정</x:v>
      </x:c>
      <x:c r="B131" s="23" t="str">
        <x:v>미배정</x:v>
      </x:c>
      <x:c r="C131" s="23" t="str">
        <x:v>유지</x:v>
      </x:c>
      <x:c r="D131" s="23" t="str">
        <x:v>경상남도</x:v>
      </x:c>
      <x:c r="E131" s="23" t="str">
        <x:v>의령군</x:v>
      </x:c>
      <x:c r="F131" s="24"/>
      <x:c r="G131" s="24"/>
      <x:c r="H131" s="25" t="n">
        <x:f>IFERROR(G131/F131,0)</x:f>
        <x:v>0</x:v>
      </x:c>
      <x:c r="I131" s="23" t="str">
        <x:v>데이터 없음</x:v>
      </x:c>
      <x:c r="J131" s="23" t="str">
        <x:v>unassigned</x:v>
      </x:c>
      <x:c r="K131" s="26" t="str">
        <x:v>unassigned</x:v>
      </x:c>
    </x:row>
    <x:row r="132">
      <x:c r="A132" s="22" t="str">
        <x:v>미배정</x:v>
      </x:c>
      <x:c r="B132" s="23" t="str">
        <x:v>미배정</x:v>
      </x:c>
      <x:c r="C132" s="23" t="str">
        <x:v>유지</x:v>
      </x:c>
      <x:c r="D132" s="23" t="str">
        <x:v>경상남도</x:v>
      </x:c>
      <x:c r="E132" s="23" t="str">
        <x:v>진주시</x:v>
      </x:c>
      <x:c r="F132" s="24"/>
      <x:c r="G132" s="24"/>
      <x:c r="H132" s="25" t="n">
        <x:f>IFERROR(G132/F132,0)</x:f>
        <x:v>0</x:v>
      </x:c>
      <x:c r="I132" s="23" t="str">
        <x:v>데이터 없음</x:v>
      </x:c>
      <x:c r="J132" s="23" t="str">
        <x:v>unassigned</x:v>
      </x:c>
      <x:c r="K132" s="26" t="str">
        <x:v>unassigned</x:v>
      </x:c>
    </x:row>
    <x:row r="133">
      <x:c r="A133" s="22" t="str">
        <x:v>미배정</x:v>
      </x:c>
      <x:c r="B133" s="23" t="str">
        <x:v>미배정</x:v>
      </x:c>
      <x:c r="C133" s="23" t="str">
        <x:v>유지</x:v>
      </x:c>
      <x:c r="D133" s="23" t="str">
        <x:v>경상남도</x:v>
      </x:c>
      <x:c r="E133" s="23" t="str">
        <x:v>창녕군</x:v>
      </x:c>
      <x:c r="F133" s="24"/>
      <x:c r="G133" s="24"/>
      <x:c r="H133" s="25" t="n">
        <x:f>IFERROR(G133/F133,0)</x:f>
        <x:v>0</x:v>
      </x:c>
      <x:c r="I133" s="23" t="str">
        <x:v>데이터 없음</x:v>
      </x:c>
      <x:c r="J133" s="23" t="str">
        <x:v>unassigned</x:v>
      </x:c>
      <x:c r="K133" s="26" t="str">
        <x:v>unassigned</x:v>
      </x:c>
    </x:row>
    <x:row r="134">
      <x:c r="A134" s="22" t="str">
        <x:v>미배정</x:v>
      </x:c>
      <x:c r="B134" s="23" t="str">
        <x:v>미배정</x:v>
      </x:c>
      <x:c r="C134" s="23" t="str">
        <x:v>유지</x:v>
      </x:c>
      <x:c r="D134" s="23" t="str">
        <x:v>경상남도</x:v>
      </x:c>
      <x:c r="E134" s="23" t="str">
        <x:v>창원시 마산합포구</x:v>
      </x:c>
      <x:c r="F134" s="24"/>
      <x:c r="G134" s="24"/>
      <x:c r="H134" s="25" t="n">
        <x:f>IFERROR(G134/F134,0)</x:f>
        <x:v>0</x:v>
      </x:c>
      <x:c r="I134" s="23" t="str">
        <x:v>데이터 없음</x:v>
      </x:c>
      <x:c r="J134" s="23" t="str">
        <x:v>unassigned</x:v>
      </x:c>
      <x:c r="K134" s="26" t="str">
        <x:v>unassigned</x:v>
      </x:c>
    </x:row>
    <x:row r="135">
      <x:c r="A135" s="22" t="str">
        <x:v>미배정</x:v>
      </x:c>
      <x:c r="B135" s="23" t="str">
        <x:v>미배정</x:v>
      </x:c>
      <x:c r="C135" s="23" t="str">
        <x:v>유지</x:v>
      </x:c>
      <x:c r="D135" s="23" t="str">
        <x:v>경상남도</x:v>
      </x:c>
      <x:c r="E135" s="23" t="str">
        <x:v>창원시 마산회원구</x:v>
      </x:c>
      <x:c r="F135" s="24"/>
      <x:c r="G135" s="24"/>
      <x:c r="H135" s="25" t="n">
        <x:f>IFERROR(G135/F135,0)</x:f>
        <x:v>0</x:v>
      </x:c>
      <x:c r="I135" s="23" t="str">
        <x:v>데이터 없음</x:v>
      </x:c>
      <x:c r="J135" s="23" t="str">
        <x:v>unassigned</x:v>
      </x:c>
      <x:c r="K135" s="26" t="str">
        <x:v>unassigned</x:v>
      </x:c>
    </x:row>
    <x:row r="136">
      <x:c r="A136" s="22" t="str">
        <x:v>미배정</x:v>
      </x:c>
      <x:c r="B136" s="23" t="str">
        <x:v>미배정</x:v>
      </x:c>
      <x:c r="C136" s="23" t="str">
        <x:v>유지</x:v>
      </x:c>
      <x:c r="D136" s="23" t="str">
        <x:v>경상남도</x:v>
      </x:c>
      <x:c r="E136" s="23" t="str">
        <x:v>창원시 성산구</x:v>
      </x:c>
      <x:c r="F136" s="24"/>
      <x:c r="G136" s="24"/>
      <x:c r="H136" s="25" t="n">
        <x:f>IFERROR(G136/F136,0)</x:f>
        <x:v>0</x:v>
      </x:c>
      <x:c r="I136" s="23" t="str">
        <x:v>데이터 없음</x:v>
      </x:c>
      <x:c r="J136" s="23" t="str">
        <x:v>unassigned</x:v>
      </x:c>
      <x:c r="K136" s="26" t="str">
        <x:v>unassigned</x:v>
      </x:c>
    </x:row>
    <x:row r="137">
      <x:c r="A137" s="22" t="str">
        <x:v>미배정</x:v>
      </x:c>
      <x:c r="B137" s="23" t="str">
        <x:v>미배정</x:v>
      </x:c>
      <x:c r="C137" s="23" t="str">
        <x:v>유지</x:v>
      </x:c>
      <x:c r="D137" s="23" t="str">
        <x:v>경상남도</x:v>
      </x:c>
      <x:c r="E137" s="23" t="str">
        <x:v>창원시 의창구</x:v>
      </x:c>
      <x:c r="F137" s="24"/>
      <x:c r="G137" s="24"/>
      <x:c r="H137" s="25" t="n">
        <x:f>IFERROR(G137/F137,0)</x:f>
        <x:v>0</x:v>
      </x:c>
      <x:c r="I137" s="23" t="str">
        <x:v>데이터 없음</x:v>
      </x:c>
      <x:c r="J137" s="23" t="str">
        <x:v>unassigned</x:v>
      </x:c>
      <x:c r="K137" s="26" t="str">
        <x:v>unassigned</x:v>
      </x:c>
    </x:row>
    <x:row r="138">
      <x:c r="A138" s="22" t="str">
        <x:v>미배정</x:v>
      </x:c>
      <x:c r="B138" s="23" t="str">
        <x:v>미배정</x:v>
      </x:c>
      <x:c r="C138" s="23" t="str">
        <x:v>유지</x:v>
      </x:c>
      <x:c r="D138" s="23" t="str">
        <x:v>경상남도</x:v>
      </x:c>
      <x:c r="E138" s="23" t="str">
        <x:v>창원시 진해구</x:v>
      </x:c>
      <x:c r="F138" s="24"/>
      <x:c r="G138" s="24"/>
      <x:c r="H138" s="25" t="n">
        <x:f>IFERROR(G138/F138,0)</x:f>
        <x:v>0</x:v>
      </x:c>
      <x:c r="I138" s="23" t="str">
        <x:v>데이터 없음</x:v>
      </x:c>
      <x:c r="J138" s="23" t="str">
        <x:v>unassigned</x:v>
      </x:c>
      <x:c r="K138" s="26" t="str">
        <x:v>unassigned</x:v>
      </x:c>
    </x:row>
    <x:row r="139">
      <x:c r="A139" s="22" t="str">
        <x:v>미배정</x:v>
      </x:c>
      <x:c r="B139" s="23" t="str">
        <x:v>미배정</x:v>
      </x:c>
      <x:c r="C139" s="23" t="str">
        <x:v>유지</x:v>
      </x:c>
      <x:c r="D139" s="23" t="str">
        <x:v>경상남도</x:v>
      </x:c>
      <x:c r="E139" s="23" t="str">
        <x:v>통영시</x:v>
      </x:c>
      <x:c r="F139" s="24"/>
      <x:c r="G139" s="24"/>
      <x:c r="H139" s="25" t="n">
        <x:f>IFERROR(G139/F139,0)</x:f>
        <x:v>0</x:v>
      </x:c>
      <x:c r="I139" s="23" t="str">
        <x:v>데이터 없음</x:v>
      </x:c>
      <x:c r="J139" s="23" t="str">
        <x:v>unassigned</x:v>
      </x:c>
      <x:c r="K139" s="26" t="str">
        <x:v>unassigned</x:v>
      </x:c>
    </x:row>
    <x:row r="140">
      <x:c r="A140" s="22" t="str">
        <x:v>미배정</x:v>
      </x:c>
      <x:c r="B140" s="23" t="str">
        <x:v>미배정</x:v>
      </x:c>
      <x:c r="C140" s="23" t="str">
        <x:v>유지</x:v>
      </x:c>
      <x:c r="D140" s="23" t="str">
        <x:v>경상남도</x:v>
      </x:c>
      <x:c r="E140" s="23" t="str">
        <x:v>하동군</x:v>
      </x:c>
      <x:c r="F140" s="24"/>
      <x:c r="G140" s="24"/>
      <x:c r="H140" s="25" t="n">
        <x:f>IFERROR(G140/F140,0)</x:f>
        <x:v>0</x:v>
      </x:c>
      <x:c r="I140" s="23" t="str">
        <x:v>데이터 없음</x:v>
      </x:c>
      <x:c r="J140" s="23" t="str">
        <x:v>unassigned</x:v>
      </x:c>
      <x:c r="K140" s="26" t="str">
        <x:v>unassigned</x:v>
      </x:c>
    </x:row>
    <x:row r="141">
      <x:c r="A141" s="22" t="str">
        <x:v>미배정</x:v>
      </x:c>
      <x:c r="B141" s="23" t="str">
        <x:v>미배정</x:v>
      </x:c>
      <x:c r="C141" s="23" t="str">
        <x:v>유지</x:v>
      </x:c>
      <x:c r="D141" s="23" t="str">
        <x:v>경상남도</x:v>
      </x:c>
      <x:c r="E141" s="23" t="str">
        <x:v>함안군</x:v>
      </x:c>
      <x:c r="F141" s="24"/>
      <x:c r="G141" s="24"/>
      <x:c r="H141" s="25" t="n">
        <x:f>IFERROR(G141/F141,0)</x:f>
        <x:v>0</x:v>
      </x:c>
      <x:c r="I141" s="23" t="str">
        <x:v>데이터 없음</x:v>
      </x:c>
      <x:c r="J141" s="23" t="str">
        <x:v>unassigned</x:v>
      </x:c>
      <x:c r="K141" s="26" t="str">
        <x:v>unassigned</x:v>
      </x:c>
    </x:row>
    <x:row r="142">
      <x:c r="A142" s="22" t="str">
        <x:v>미배정</x:v>
      </x:c>
      <x:c r="B142" s="23" t="str">
        <x:v>미배정</x:v>
      </x:c>
      <x:c r="C142" s="23" t="str">
        <x:v>유지</x:v>
      </x:c>
      <x:c r="D142" s="23" t="str">
        <x:v>경상남도</x:v>
      </x:c>
      <x:c r="E142" s="23" t="str">
        <x:v>함양군</x:v>
      </x:c>
      <x:c r="F142" s="24"/>
      <x:c r="G142" s="24"/>
      <x:c r="H142" s="25" t="n">
        <x:f>IFERROR(G142/F142,0)</x:f>
        <x:v>0</x:v>
      </x:c>
      <x:c r="I142" s="23" t="str">
        <x:v>데이터 없음</x:v>
      </x:c>
      <x:c r="J142" s="23" t="str">
        <x:v>unassigned</x:v>
      </x:c>
      <x:c r="K142" s="26" t="str">
        <x:v>unassigned</x:v>
      </x:c>
    </x:row>
    <x:row r="143">
      <x:c r="A143" s="22" t="str">
        <x:v>미배정</x:v>
      </x:c>
      <x:c r="B143" s="23" t="str">
        <x:v>미배정</x:v>
      </x:c>
      <x:c r="C143" s="23" t="str">
        <x:v>유지</x:v>
      </x:c>
      <x:c r="D143" s="23" t="str">
        <x:v>경상남도</x:v>
      </x:c>
      <x:c r="E143" s="23" t="str">
        <x:v>합천군</x:v>
      </x:c>
      <x:c r="F143" s="24"/>
      <x:c r="G143" s="24"/>
      <x:c r="H143" s="25" t="n">
        <x:f>IFERROR(G143/F143,0)</x:f>
        <x:v>0</x:v>
      </x:c>
      <x:c r="I143" s="23" t="str">
        <x:v>데이터 없음</x:v>
      </x:c>
      <x:c r="J143" s="23" t="str">
        <x:v>unassigned</x:v>
      </x:c>
      <x:c r="K143" s="26" t="str">
        <x:v>unassigned</x:v>
      </x:c>
    </x:row>
    <x:row r="144">
      <x:c r="A144" s="22" t="str">
        <x:v>미배정</x:v>
      </x:c>
      <x:c r="B144" s="23" t="str">
        <x:v>미배정</x:v>
      </x:c>
      <x:c r="C144" s="23" t="str">
        <x:v>유지</x:v>
      </x:c>
      <x:c r="D144" s="23" t="str">
        <x:v>경상북도</x:v>
      </x:c>
      <x:c r="E144" s="23" t="str">
        <x:v>경산시</x:v>
      </x:c>
      <x:c r="F144" s="24"/>
      <x:c r="G144" s="24"/>
      <x:c r="H144" s="25" t="n">
        <x:f>IFERROR(G144/F144,0)</x:f>
        <x:v>0</x:v>
      </x:c>
      <x:c r="I144" s="23" t="str">
        <x:v>데이터 없음</x:v>
      </x:c>
      <x:c r="J144" s="23" t="str">
        <x:v>unassigned</x:v>
      </x:c>
      <x:c r="K144" s="26" t="str">
        <x:v>unassigned</x:v>
      </x:c>
    </x:row>
    <x:row r="145">
      <x:c r="A145" s="22" t="str">
        <x:v>미배정</x:v>
      </x:c>
      <x:c r="B145" s="23" t="str">
        <x:v>미배정</x:v>
      </x:c>
      <x:c r="C145" s="23" t="str">
        <x:v>유지</x:v>
      </x:c>
      <x:c r="D145" s="23" t="str">
        <x:v>경상북도</x:v>
      </x:c>
      <x:c r="E145" s="23" t="str">
        <x:v>경주시</x:v>
      </x:c>
      <x:c r="F145" s="24"/>
      <x:c r="G145" s="24"/>
      <x:c r="H145" s="25" t="n">
        <x:f>IFERROR(G145/F145,0)</x:f>
        <x:v>0</x:v>
      </x:c>
      <x:c r="I145" s="23" t="str">
        <x:v>데이터 없음</x:v>
      </x:c>
      <x:c r="J145" s="23" t="str">
        <x:v>unassigned</x:v>
      </x:c>
      <x:c r="K145" s="26" t="str">
        <x:v>unassigned</x:v>
      </x:c>
    </x:row>
    <x:row r="146">
      <x:c r="A146" s="22" t="str">
        <x:v>미배정</x:v>
      </x:c>
      <x:c r="B146" s="23" t="str">
        <x:v>미배정</x:v>
      </x:c>
      <x:c r="C146" s="23" t="str">
        <x:v>유지</x:v>
      </x:c>
      <x:c r="D146" s="23" t="str">
        <x:v>경상북도</x:v>
      </x:c>
      <x:c r="E146" s="23" t="str">
        <x:v>고령군</x:v>
      </x:c>
      <x:c r="F146" s="24"/>
      <x:c r="G146" s="24"/>
      <x:c r="H146" s="25" t="n">
        <x:f>IFERROR(G146/F146,0)</x:f>
        <x:v>0</x:v>
      </x:c>
      <x:c r="I146" s="23" t="str">
        <x:v>데이터 없음</x:v>
      </x:c>
      <x:c r="J146" s="23" t="str">
        <x:v>unassigned</x:v>
      </x:c>
      <x:c r="K146" s="26" t="str">
        <x:v>unassigned</x:v>
      </x:c>
    </x:row>
    <x:row r="147">
      <x:c r="A147" s="22" t="str">
        <x:v>미배정</x:v>
      </x:c>
      <x:c r="B147" s="23" t="str">
        <x:v>미배정</x:v>
      </x:c>
      <x:c r="C147" s="23" t="str">
        <x:v>유지</x:v>
      </x:c>
      <x:c r="D147" s="23" t="str">
        <x:v>경상북도</x:v>
      </x:c>
      <x:c r="E147" s="23" t="str">
        <x:v>구미시</x:v>
      </x:c>
      <x:c r="F147" s="24"/>
      <x:c r="G147" s="24"/>
      <x:c r="H147" s="25" t="n">
        <x:f>IFERROR(G147/F147,0)</x:f>
        <x:v>0</x:v>
      </x:c>
      <x:c r="I147" s="23" t="str">
        <x:v>데이터 없음</x:v>
      </x:c>
      <x:c r="J147" s="23" t="str">
        <x:v>unassigned</x:v>
      </x:c>
      <x:c r="K147" s="26" t="str">
        <x:v>unassigned</x:v>
      </x:c>
    </x:row>
    <x:row r="148">
      <x:c r="A148" s="22" t="str">
        <x:v>미배정</x:v>
      </x:c>
      <x:c r="B148" s="23" t="str">
        <x:v>미배정</x:v>
      </x:c>
      <x:c r="C148" s="23" t="str">
        <x:v>유지</x:v>
      </x:c>
      <x:c r="D148" s="23" t="str">
        <x:v>경상북도</x:v>
      </x:c>
      <x:c r="E148" s="23" t="str">
        <x:v>김천시</x:v>
      </x:c>
      <x:c r="F148" s="24"/>
      <x:c r="G148" s="24"/>
      <x:c r="H148" s="25" t="n">
        <x:f>IFERROR(G148/F148,0)</x:f>
        <x:v>0</x:v>
      </x:c>
      <x:c r="I148" s="23" t="str">
        <x:v>데이터 없음</x:v>
      </x:c>
      <x:c r="J148" s="23" t="str">
        <x:v>unassigned</x:v>
      </x:c>
      <x:c r="K148" s="26" t="str">
        <x:v>unassigned</x:v>
      </x:c>
    </x:row>
    <x:row r="149">
      <x:c r="A149" s="22" t="str">
        <x:v>미배정</x:v>
      </x:c>
      <x:c r="B149" s="23" t="str">
        <x:v>미배정</x:v>
      </x:c>
      <x:c r="C149" s="23" t="str">
        <x:v>유지</x:v>
      </x:c>
      <x:c r="D149" s="23" t="str">
        <x:v>경상북도</x:v>
      </x:c>
      <x:c r="E149" s="23" t="str">
        <x:v>문경시</x:v>
      </x:c>
      <x:c r="F149" s="24"/>
      <x:c r="G149" s="24"/>
      <x:c r="H149" s="25" t="n">
        <x:f>IFERROR(G149/F149,0)</x:f>
        <x:v>0</x:v>
      </x:c>
      <x:c r="I149" s="23" t="str">
        <x:v>데이터 없음</x:v>
      </x:c>
      <x:c r="J149" s="23" t="str">
        <x:v>unassigned</x:v>
      </x:c>
      <x:c r="K149" s="26" t="str">
        <x:v>unassigned</x:v>
      </x:c>
    </x:row>
    <x:row r="150">
      <x:c r="A150" s="22" t="str">
        <x:v>미배정</x:v>
      </x:c>
      <x:c r="B150" s="23" t="str">
        <x:v>미배정</x:v>
      </x:c>
      <x:c r="C150" s="23" t="str">
        <x:v>유지</x:v>
      </x:c>
      <x:c r="D150" s="23" t="str">
        <x:v>경상북도</x:v>
      </x:c>
      <x:c r="E150" s="23" t="str">
        <x:v>봉화군</x:v>
      </x:c>
      <x:c r="F150" s="24"/>
      <x:c r="G150" s="24"/>
      <x:c r="H150" s="25" t="n">
        <x:f>IFERROR(G150/F150,0)</x:f>
        <x:v>0</x:v>
      </x:c>
      <x:c r="I150" s="23" t="str">
        <x:v>데이터 없음</x:v>
      </x:c>
      <x:c r="J150" s="23" t="str">
        <x:v>unassigned</x:v>
      </x:c>
      <x:c r="K150" s="26" t="str">
        <x:v>unassigned</x:v>
      </x:c>
    </x:row>
    <x:row r="151">
      <x:c r="A151" s="22" t="str">
        <x:v>미배정</x:v>
      </x:c>
      <x:c r="B151" s="23" t="str">
        <x:v>미배정</x:v>
      </x:c>
      <x:c r="C151" s="23" t="str">
        <x:v>유지</x:v>
      </x:c>
      <x:c r="D151" s="23" t="str">
        <x:v>경상북도</x:v>
      </x:c>
      <x:c r="E151" s="23" t="str">
        <x:v>상주시</x:v>
      </x:c>
      <x:c r="F151" s="24"/>
      <x:c r="G151" s="24"/>
      <x:c r="H151" s="25" t="n">
        <x:f>IFERROR(G151/F151,0)</x:f>
        <x:v>0</x:v>
      </x:c>
      <x:c r="I151" s="23" t="str">
        <x:v>데이터 없음</x:v>
      </x:c>
      <x:c r="J151" s="23" t="str">
        <x:v>unassigned</x:v>
      </x:c>
      <x:c r="K151" s="26" t="str">
        <x:v>unassigned</x:v>
      </x:c>
    </x:row>
    <x:row r="152">
      <x:c r="A152" s="22" t="str">
        <x:v>미배정</x:v>
      </x:c>
      <x:c r="B152" s="23" t="str">
        <x:v>미배정</x:v>
      </x:c>
      <x:c r="C152" s="23" t="str">
        <x:v>유지</x:v>
      </x:c>
      <x:c r="D152" s="23" t="str">
        <x:v>경상북도</x:v>
      </x:c>
      <x:c r="E152" s="23" t="str">
        <x:v>성주군</x:v>
      </x:c>
      <x:c r="F152" s="24"/>
      <x:c r="G152" s="24"/>
      <x:c r="H152" s="25" t="n">
        <x:f>IFERROR(G152/F152,0)</x:f>
        <x:v>0</x:v>
      </x:c>
      <x:c r="I152" s="23" t="str">
        <x:v>데이터 없음</x:v>
      </x:c>
      <x:c r="J152" s="23" t="str">
        <x:v>unassigned</x:v>
      </x:c>
      <x:c r="K152" s="26" t="str">
        <x:v>unassigned</x:v>
      </x:c>
    </x:row>
    <x:row r="153">
      <x:c r="A153" s="22" t="str">
        <x:v>미배정</x:v>
      </x:c>
      <x:c r="B153" s="23" t="str">
        <x:v>미배정</x:v>
      </x:c>
      <x:c r="C153" s="23" t="str">
        <x:v>유지</x:v>
      </x:c>
      <x:c r="D153" s="23" t="str">
        <x:v>경상북도</x:v>
      </x:c>
      <x:c r="E153" s="23" t="str">
        <x:v>안동시</x:v>
      </x:c>
      <x:c r="F153" s="24"/>
      <x:c r="G153" s="24"/>
      <x:c r="H153" s="25" t="n">
        <x:f>IFERROR(G153/F153,0)</x:f>
        <x:v>0</x:v>
      </x:c>
      <x:c r="I153" s="23" t="str">
        <x:v>데이터 없음</x:v>
      </x:c>
      <x:c r="J153" s="23" t="str">
        <x:v>unassigned</x:v>
      </x:c>
      <x:c r="K153" s="26" t="str">
        <x:v>unassigned</x:v>
      </x:c>
    </x:row>
    <x:row r="154">
      <x:c r="A154" s="22" t="str">
        <x:v>미배정</x:v>
      </x:c>
      <x:c r="B154" s="23" t="str">
        <x:v>미배정</x:v>
      </x:c>
      <x:c r="C154" s="23" t="str">
        <x:v>유지</x:v>
      </x:c>
      <x:c r="D154" s="23" t="str">
        <x:v>경상북도</x:v>
      </x:c>
      <x:c r="E154" s="23" t="str">
        <x:v>영덕군</x:v>
      </x:c>
      <x:c r="F154" s="24"/>
      <x:c r="G154" s="24"/>
      <x:c r="H154" s="25" t="n">
        <x:f>IFERROR(G154/F154,0)</x:f>
        <x:v>0</x:v>
      </x:c>
      <x:c r="I154" s="23" t="str">
        <x:v>데이터 없음</x:v>
      </x:c>
      <x:c r="J154" s="23" t="str">
        <x:v>unassigned</x:v>
      </x:c>
      <x:c r="K154" s="26" t="str">
        <x:v>unassigned</x:v>
      </x:c>
    </x:row>
    <x:row r="155">
      <x:c r="A155" s="22" t="str">
        <x:v>미배정</x:v>
      </x:c>
      <x:c r="B155" s="23" t="str">
        <x:v>미배정</x:v>
      </x:c>
      <x:c r="C155" s="23" t="str">
        <x:v>유지</x:v>
      </x:c>
      <x:c r="D155" s="23" t="str">
        <x:v>경상북도</x:v>
      </x:c>
      <x:c r="E155" s="23" t="str">
        <x:v>영양군</x:v>
      </x:c>
      <x:c r="F155" s="24"/>
      <x:c r="G155" s="24"/>
      <x:c r="H155" s="25" t="n">
        <x:f>IFERROR(G155/F155,0)</x:f>
        <x:v>0</x:v>
      </x:c>
      <x:c r="I155" s="23" t="str">
        <x:v>데이터 없음</x:v>
      </x:c>
      <x:c r="J155" s="23" t="str">
        <x:v>unassigned</x:v>
      </x:c>
      <x:c r="K155" s="26" t="str">
        <x:v>unassigned</x:v>
      </x:c>
    </x:row>
    <x:row r="156">
      <x:c r="A156" s="22" t="str">
        <x:v>미배정</x:v>
      </x:c>
      <x:c r="B156" s="23" t="str">
        <x:v>미배정</x:v>
      </x:c>
      <x:c r="C156" s="23" t="str">
        <x:v>유지</x:v>
      </x:c>
      <x:c r="D156" s="23" t="str">
        <x:v>경상북도</x:v>
      </x:c>
      <x:c r="E156" s="23" t="str">
        <x:v>영주시</x:v>
      </x:c>
      <x:c r="F156" s="24"/>
      <x:c r="G156" s="24"/>
      <x:c r="H156" s="25" t="n">
        <x:f>IFERROR(G156/F156,0)</x:f>
        <x:v>0</x:v>
      </x:c>
      <x:c r="I156" s="23" t="str">
        <x:v>데이터 없음</x:v>
      </x:c>
      <x:c r="J156" s="23" t="str">
        <x:v>unassigned</x:v>
      </x:c>
      <x:c r="K156" s="26" t="str">
        <x:v>unassigned</x:v>
      </x:c>
    </x:row>
    <x:row r="157">
      <x:c r="A157" s="22" t="str">
        <x:v>미배정</x:v>
      </x:c>
      <x:c r="B157" s="23" t="str">
        <x:v>미배정</x:v>
      </x:c>
      <x:c r="C157" s="23" t="str">
        <x:v>유지</x:v>
      </x:c>
      <x:c r="D157" s="23" t="str">
        <x:v>경상북도</x:v>
      </x:c>
      <x:c r="E157" s="23" t="str">
        <x:v>영천시</x:v>
      </x:c>
      <x:c r="F157" s="24"/>
      <x:c r="G157" s="24"/>
      <x:c r="H157" s="25" t="n">
        <x:f>IFERROR(G157/F157,0)</x:f>
        <x:v>0</x:v>
      </x:c>
      <x:c r="I157" s="23" t="str">
        <x:v>데이터 없음</x:v>
      </x:c>
      <x:c r="J157" s="23" t="str">
        <x:v>unassigned</x:v>
      </x:c>
      <x:c r="K157" s="26" t="str">
        <x:v>unassigned</x:v>
      </x:c>
    </x:row>
    <x:row r="158">
      <x:c r="A158" s="22" t="str">
        <x:v>미배정</x:v>
      </x:c>
      <x:c r="B158" s="23" t="str">
        <x:v>미배정</x:v>
      </x:c>
      <x:c r="C158" s="23" t="str">
        <x:v>유지</x:v>
      </x:c>
      <x:c r="D158" s="23" t="str">
        <x:v>경상북도</x:v>
      </x:c>
      <x:c r="E158" s="23" t="str">
        <x:v>예천군</x:v>
      </x:c>
      <x:c r="F158" s="24"/>
      <x:c r="G158" s="24"/>
      <x:c r="H158" s="25" t="n">
        <x:f>IFERROR(G158/F158,0)</x:f>
        <x:v>0</x:v>
      </x:c>
      <x:c r="I158" s="23" t="str">
        <x:v>데이터 없음</x:v>
      </x:c>
      <x:c r="J158" s="23" t="str">
        <x:v>unassigned</x:v>
      </x:c>
      <x:c r="K158" s="26" t="str">
        <x:v>unassigned</x:v>
      </x:c>
    </x:row>
    <x:row r="159">
      <x:c r="A159" s="22" t="str">
        <x:v>미배정</x:v>
      </x:c>
      <x:c r="B159" s="23" t="str">
        <x:v>미배정</x:v>
      </x:c>
      <x:c r="C159" s="23" t="str">
        <x:v>유지</x:v>
      </x:c>
      <x:c r="D159" s="23" t="str">
        <x:v>경상북도</x:v>
      </x:c>
      <x:c r="E159" s="23" t="str">
        <x:v>울릉군</x:v>
      </x:c>
      <x:c r="F159" s="24"/>
      <x:c r="G159" s="24"/>
      <x:c r="H159" s="25" t="n">
        <x:f>IFERROR(G159/F159,0)</x:f>
        <x:v>0</x:v>
      </x:c>
      <x:c r="I159" s="23" t="str">
        <x:v>데이터 없음</x:v>
      </x:c>
      <x:c r="J159" s="23" t="str">
        <x:v>unassigned</x:v>
      </x:c>
      <x:c r="K159" s="26" t="str">
        <x:v>unassigned</x:v>
      </x:c>
    </x:row>
    <x:row r="160">
      <x:c r="A160" s="22" t="str">
        <x:v>미배정</x:v>
      </x:c>
      <x:c r="B160" s="23" t="str">
        <x:v>미배정</x:v>
      </x:c>
      <x:c r="C160" s="23" t="str">
        <x:v>유지</x:v>
      </x:c>
      <x:c r="D160" s="23" t="str">
        <x:v>경상북도</x:v>
      </x:c>
      <x:c r="E160" s="23" t="str">
        <x:v>울진군</x:v>
      </x:c>
      <x:c r="F160" s="24"/>
      <x:c r="G160" s="24"/>
      <x:c r="H160" s="25" t="n">
        <x:f>IFERROR(G160/F160,0)</x:f>
        <x:v>0</x:v>
      </x:c>
      <x:c r="I160" s="23" t="str">
        <x:v>데이터 없음</x:v>
      </x:c>
      <x:c r="J160" s="23" t="str">
        <x:v>unassigned</x:v>
      </x:c>
      <x:c r="K160" s="26" t="str">
        <x:v>unassigned</x:v>
      </x:c>
    </x:row>
    <x:row r="161">
      <x:c r="A161" s="22" t="str">
        <x:v>미배정</x:v>
      </x:c>
      <x:c r="B161" s="23" t="str">
        <x:v>미배정</x:v>
      </x:c>
      <x:c r="C161" s="23" t="str">
        <x:v>유지</x:v>
      </x:c>
      <x:c r="D161" s="23" t="str">
        <x:v>경상북도</x:v>
      </x:c>
      <x:c r="E161" s="23" t="str">
        <x:v>의성군</x:v>
      </x:c>
      <x:c r="F161" s="24"/>
      <x:c r="G161" s="24"/>
      <x:c r="H161" s="25" t="n">
        <x:f>IFERROR(G161/F161,0)</x:f>
        <x:v>0</x:v>
      </x:c>
      <x:c r="I161" s="23" t="str">
        <x:v>데이터 없음</x:v>
      </x:c>
      <x:c r="J161" s="23" t="str">
        <x:v>unassigned</x:v>
      </x:c>
      <x:c r="K161" s="26" t="str">
        <x:v>unassigned</x:v>
      </x:c>
    </x:row>
    <x:row r="162">
      <x:c r="A162" s="22" t="str">
        <x:v>미배정</x:v>
      </x:c>
      <x:c r="B162" s="23" t="str">
        <x:v>미배정</x:v>
      </x:c>
      <x:c r="C162" s="23" t="str">
        <x:v>유지</x:v>
      </x:c>
      <x:c r="D162" s="23" t="str">
        <x:v>경상북도</x:v>
      </x:c>
      <x:c r="E162" s="23" t="str">
        <x:v>청도군</x:v>
      </x:c>
      <x:c r="F162" s="24"/>
      <x:c r="G162" s="24"/>
      <x:c r="H162" s="25" t="n">
        <x:f>IFERROR(G162/F162,0)</x:f>
        <x:v>0</x:v>
      </x:c>
      <x:c r="I162" s="23" t="str">
        <x:v>데이터 없음</x:v>
      </x:c>
      <x:c r="J162" s="23" t="str">
        <x:v>unassigned</x:v>
      </x:c>
      <x:c r="K162" s="26" t="str">
        <x:v>unassigned</x:v>
      </x:c>
    </x:row>
    <x:row r="163">
      <x:c r="A163" s="22" t="str">
        <x:v>미배정</x:v>
      </x:c>
      <x:c r="B163" s="23" t="str">
        <x:v>미배정</x:v>
      </x:c>
      <x:c r="C163" s="23" t="str">
        <x:v>유지</x:v>
      </x:c>
      <x:c r="D163" s="23" t="str">
        <x:v>경상북도</x:v>
      </x:c>
      <x:c r="E163" s="23" t="str">
        <x:v>청송군</x:v>
      </x:c>
      <x:c r="F163" s="24"/>
      <x:c r="G163" s="24"/>
      <x:c r="H163" s="25" t="n">
        <x:f>IFERROR(G163/F163,0)</x:f>
        <x:v>0</x:v>
      </x:c>
      <x:c r="I163" s="23" t="str">
        <x:v>데이터 없음</x:v>
      </x:c>
      <x:c r="J163" s="23" t="str">
        <x:v>unassigned</x:v>
      </x:c>
      <x:c r="K163" s="26" t="str">
        <x:v>unassigned</x:v>
      </x:c>
    </x:row>
    <x:row r="164">
      <x:c r="A164" s="22" t="str">
        <x:v>미배정</x:v>
      </x:c>
      <x:c r="B164" s="23" t="str">
        <x:v>미배정</x:v>
      </x:c>
      <x:c r="C164" s="23" t="str">
        <x:v>유지</x:v>
      </x:c>
      <x:c r="D164" s="23" t="str">
        <x:v>경상북도</x:v>
      </x:c>
      <x:c r="E164" s="23" t="str">
        <x:v>칠곡군</x:v>
      </x:c>
      <x:c r="F164" s="24"/>
      <x:c r="G164" s="24"/>
      <x:c r="H164" s="25" t="n">
        <x:f>IFERROR(G164/F164,0)</x:f>
        <x:v>0</x:v>
      </x:c>
      <x:c r="I164" s="23" t="str">
        <x:v>데이터 없음</x:v>
      </x:c>
      <x:c r="J164" s="23" t="str">
        <x:v>unassigned</x:v>
      </x:c>
      <x:c r="K164" s="26" t="str">
        <x:v>unassigned</x:v>
      </x:c>
    </x:row>
    <x:row r="165">
      <x:c r="A165" s="22" t="str">
        <x:v>미배정</x:v>
      </x:c>
      <x:c r="B165" s="23" t="str">
        <x:v>미배정</x:v>
      </x:c>
      <x:c r="C165" s="23" t="str">
        <x:v>유지</x:v>
      </x:c>
      <x:c r="D165" s="23" t="str">
        <x:v>경상북도</x:v>
      </x:c>
      <x:c r="E165" s="23" t="str">
        <x:v>포항시 남구</x:v>
      </x:c>
      <x:c r="F165" s="24"/>
      <x:c r="G165" s="24"/>
      <x:c r="H165" s="25" t="n">
        <x:f>IFERROR(G165/F165,0)</x:f>
        <x:v>0</x:v>
      </x:c>
      <x:c r="I165" s="23" t="str">
        <x:v>데이터 없음</x:v>
      </x:c>
      <x:c r="J165" s="23" t="str">
        <x:v>unassigned</x:v>
      </x:c>
      <x:c r="K165" s="26" t="str">
        <x:v>unassigned</x:v>
      </x:c>
    </x:row>
    <x:row r="166">
      <x:c r="A166" s="22" t="str">
        <x:v>미배정</x:v>
      </x:c>
      <x:c r="B166" s="23" t="str">
        <x:v>미배정</x:v>
      </x:c>
      <x:c r="C166" s="23" t="str">
        <x:v>유지</x:v>
      </x:c>
      <x:c r="D166" s="23" t="str">
        <x:v>경상북도</x:v>
      </x:c>
      <x:c r="E166" s="23" t="str">
        <x:v>포항시 북구</x:v>
      </x:c>
      <x:c r="F166" s="24"/>
      <x:c r="G166" s="24"/>
      <x:c r="H166" s="25" t="n">
        <x:f>IFERROR(G166/F166,0)</x:f>
        <x:v>0</x:v>
      </x:c>
      <x:c r="I166" s="23" t="str">
        <x:v>데이터 없음</x:v>
      </x:c>
      <x:c r="J166" s="23" t="str">
        <x:v>unassigned</x:v>
      </x:c>
      <x:c r="K166" s="26" t="str">
        <x:v>unassigned</x:v>
      </x:c>
    </x:row>
    <x:row r="167">
      <x:c r="A167" s="22" t="str">
        <x:v>미배정</x:v>
      </x:c>
      <x:c r="B167" s="23" t="str">
        <x:v>미배정</x:v>
      </x:c>
      <x:c r="C167" s="23" t="str">
        <x:v>유지</x:v>
      </x:c>
      <x:c r="D167" s="23" t="str">
        <x:v>광주광역시</x:v>
      </x:c>
      <x:c r="E167" s="23" t="str">
        <x:v>광산구</x:v>
      </x:c>
      <x:c r="F167" s="24"/>
      <x:c r="G167" s="24"/>
      <x:c r="H167" s="25" t="n">
        <x:f>IFERROR(G167/F167,0)</x:f>
        <x:v>0</x:v>
      </x:c>
      <x:c r="I167" s="23" t="str">
        <x:v>데이터 없음</x:v>
      </x:c>
      <x:c r="J167" s="23" t="str">
        <x:v>unassigned</x:v>
      </x:c>
      <x:c r="K167" s="26" t="str">
        <x:v>unassigned</x:v>
      </x:c>
    </x:row>
    <x:row r="168">
      <x:c r="A168" s="22" t="str">
        <x:v>미배정</x:v>
      </x:c>
      <x:c r="B168" s="23" t="str">
        <x:v>미배정</x:v>
      </x:c>
      <x:c r="C168" s="23" t="str">
        <x:v>유지</x:v>
      </x:c>
      <x:c r="D168" s="23" t="str">
        <x:v>광주광역시</x:v>
      </x:c>
      <x:c r="E168" s="23" t="str">
        <x:v>남구</x:v>
      </x:c>
      <x:c r="F168" s="24"/>
      <x:c r="G168" s="24"/>
      <x:c r="H168" s="25" t="n">
        <x:f>IFERROR(G168/F168,0)</x:f>
        <x:v>0</x:v>
      </x:c>
      <x:c r="I168" s="23" t="str">
        <x:v>시도 확인 필요</x:v>
      </x:c>
      <x:c r="J168" s="23" t="str">
        <x:v>unassigned</x:v>
      </x:c>
      <x:c r="K168" s="26" t="str">
        <x:v>unassigned</x:v>
      </x:c>
    </x:row>
    <x:row r="169">
      <x:c r="A169" s="22" t="str">
        <x:v>미배정</x:v>
      </x:c>
      <x:c r="B169" s="23" t="str">
        <x:v>미배정</x:v>
      </x:c>
      <x:c r="C169" s="23" t="str">
        <x:v>유지</x:v>
      </x:c>
      <x:c r="D169" s="23" t="str">
        <x:v>광주광역시</x:v>
      </x:c>
      <x:c r="E169" s="23" t="str">
        <x:v>북구</x:v>
      </x:c>
      <x:c r="F169" s="24"/>
      <x:c r="G169" s="24"/>
      <x:c r="H169" s="25" t="n">
        <x:f>IFERROR(G169/F169,0)</x:f>
        <x:v>0</x:v>
      </x:c>
      <x:c r="I169" s="23" t="str">
        <x:v>데이터 없음</x:v>
      </x:c>
      <x:c r="J169" s="23" t="str">
        <x:v>unassigned</x:v>
      </x:c>
      <x:c r="K169" s="26" t="str">
        <x:v>unassigned</x:v>
      </x:c>
    </x:row>
    <x:row r="170">
      <x:c r="A170" s="22" t="str">
        <x:v>미배정</x:v>
      </x:c>
      <x:c r="B170" s="23" t="str">
        <x:v>미배정</x:v>
      </x:c>
      <x:c r="C170" s="23" t="str">
        <x:v>유지</x:v>
      </x:c>
      <x:c r="D170" s="23" t="str">
        <x:v>대구광역시</x:v>
      </x:c>
      <x:c r="E170" s="23" t="str">
        <x:v>군위군</x:v>
      </x:c>
      <x:c r="F170" s="24"/>
      <x:c r="G170" s="24"/>
      <x:c r="H170" s="25" t="n">
        <x:f>IFERROR(G170/F170,0)</x:f>
        <x:v>0</x:v>
      </x:c>
      <x:c r="I170" s="23" t="str">
        <x:v>데이터 없음</x:v>
      </x:c>
      <x:c r="J170" s="23" t="str">
        <x:v>unassigned</x:v>
      </x:c>
      <x:c r="K170" s="26" t="str">
        <x:v>unassigned</x:v>
      </x:c>
    </x:row>
    <x:row r="171">
      <x:c r="A171" s="22" t="str">
        <x:v>미배정</x:v>
      </x:c>
      <x:c r="B171" s="23" t="str">
        <x:v>미배정</x:v>
      </x:c>
      <x:c r="C171" s="23" t="str">
        <x:v>유지</x:v>
      </x:c>
      <x:c r="D171" s="23" t="str">
        <x:v>대구광역시</x:v>
      </x:c>
      <x:c r="E171" s="23" t="str">
        <x:v>남구</x:v>
      </x:c>
      <x:c r="F171" s="24"/>
      <x:c r="G171" s="24"/>
      <x:c r="H171" s="25" t="n">
        <x:f>IFERROR(G171/F171,0)</x:f>
        <x:v>0</x:v>
      </x:c>
      <x:c r="I171" s="23" t="str">
        <x:v>시도 확인 필요</x:v>
      </x:c>
      <x:c r="J171" s="23" t="str">
        <x:v>unassigned</x:v>
      </x:c>
      <x:c r="K171" s="26" t="str">
        <x:v>unassigned</x:v>
      </x:c>
    </x:row>
    <x:row r="172">
      <x:c r="A172" s="22" t="str">
        <x:v>미배정</x:v>
      </x:c>
      <x:c r="B172" s="23" t="str">
        <x:v>미배정</x:v>
      </x:c>
      <x:c r="C172" s="23" t="str">
        <x:v>유지</x:v>
      </x:c>
      <x:c r="D172" s="23" t="str">
        <x:v>대구광역시</x:v>
      </x:c>
      <x:c r="E172" s="23" t="str">
        <x:v>달서구</x:v>
      </x:c>
      <x:c r="F172" s="24"/>
      <x:c r="G172" s="24"/>
      <x:c r="H172" s="25" t="n">
        <x:f>IFERROR(G172/F172,0)</x:f>
        <x:v>0</x:v>
      </x:c>
      <x:c r="I172" s="23" t="str">
        <x:v>데이터 없음</x:v>
      </x:c>
      <x:c r="J172" s="23" t="str">
        <x:v>unassigned</x:v>
      </x:c>
      <x:c r="K172" s="26" t="str">
        <x:v>unassigned</x:v>
      </x:c>
    </x:row>
    <x:row r="173">
      <x:c r="A173" s="22" t="str">
        <x:v>미배정</x:v>
      </x:c>
      <x:c r="B173" s="23" t="str">
        <x:v>미배정</x:v>
      </x:c>
      <x:c r="C173" s="23" t="str">
        <x:v>유지</x:v>
      </x:c>
      <x:c r="D173" s="23" t="str">
        <x:v>대구광역시</x:v>
      </x:c>
      <x:c r="E173" s="23" t="str">
        <x:v>달성군</x:v>
      </x:c>
      <x:c r="F173" s="24"/>
      <x:c r="G173" s="24"/>
      <x:c r="H173" s="25" t="n">
        <x:f>IFERROR(G173/F173,0)</x:f>
        <x:v>0</x:v>
      </x:c>
      <x:c r="I173" s="23" t="str">
        <x:v>데이터 없음</x:v>
      </x:c>
      <x:c r="J173" s="23" t="str">
        <x:v>unassigned</x:v>
      </x:c>
      <x:c r="K173" s="26" t="str">
        <x:v>unassigned</x:v>
      </x:c>
    </x:row>
    <x:row r="174">
      <x:c r="A174" s="22" t="str">
        <x:v>미배정</x:v>
      </x:c>
      <x:c r="B174" s="23" t="str">
        <x:v>미배정</x:v>
      </x:c>
      <x:c r="C174" s="23" t="str">
        <x:v>유지</x:v>
      </x:c>
      <x:c r="D174" s="23" t="str">
        <x:v>대구광역시</x:v>
      </x:c>
      <x:c r="E174" s="23" t="str">
        <x:v>북구</x:v>
      </x:c>
      <x:c r="F174" s="24"/>
      <x:c r="G174" s="24"/>
      <x:c r="H174" s="25" t="n">
        <x:f>IFERROR(G174/F174,0)</x:f>
        <x:v>0</x:v>
      </x:c>
      <x:c r="I174" s="23" t="str">
        <x:v>데이터 없음</x:v>
      </x:c>
      <x:c r="J174" s="23" t="str">
        <x:v>unassigned</x:v>
      </x:c>
      <x:c r="K174" s="26" t="str">
        <x:v>unassigned</x:v>
      </x:c>
    </x:row>
    <x:row r="175">
      <x:c r="A175" s="22" t="str">
        <x:v>미배정</x:v>
      </x:c>
      <x:c r="B175" s="23" t="str">
        <x:v>미배정</x:v>
      </x:c>
      <x:c r="C175" s="23" t="str">
        <x:v>유지</x:v>
      </x:c>
      <x:c r="D175" s="23" t="str">
        <x:v>대구광역시</x:v>
      </x:c>
      <x:c r="E175" s="23" t="str">
        <x:v>수성구</x:v>
      </x:c>
      <x:c r="F175" s="24"/>
      <x:c r="G175" s="24"/>
      <x:c r="H175" s="25" t="n">
        <x:f>IFERROR(G175/F175,0)</x:f>
        <x:v>0</x:v>
      </x:c>
      <x:c r="I175" s="23" t="str">
        <x:v>데이터 없음</x:v>
      </x:c>
      <x:c r="J175" s="23" t="str">
        <x:v>unassigned</x:v>
      </x:c>
      <x:c r="K175" s="26" t="str">
        <x:v>unassigned</x:v>
      </x:c>
    </x:row>
    <x:row r="176">
      <x:c r="A176" s="22" t="str">
        <x:v>미배정</x:v>
      </x:c>
      <x:c r="B176" s="23" t="str">
        <x:v>미배정</x:v>
      </x:c>
      <x:c r="C176" s="23" t="str">
        <x:v>유지</x:v>
      </x:c>
      <x:c r="D176" s="23" t="str">
        <x:v>대전광역시</x:v>
      </x:c>
      <x:c r="E176" s="23" t="str">
        <x:v>대덕구</x:v>
      </x:c>
      <x:c r="F176" s="24"/>
      <x:c r="G176" s="24"/>
      <x:c r="H176" s="25" t="n">
        <x:f>IFERROR(G176/F176,0)</x:f>
        <x:v>0</x:v>
      </x:c>
      <x:c r="I176" s="23" t="str">
        <x:v>데이터 없음</x:v>
      </x:c>
      <x:c r="J176" s="23" t="str">
        <x:v>unassigned</x:v>
      </x:c>
      <x:c r="K176" s="26" t="str">
        <x:v>unassigned</x:v>
      </x:c>
    </x:row>
    <x:row r="177">
      <x:c r="A177" s="22" t="str">
        <x:v>미배정</x:v>
      </x:c>
      <x:c r="B177" s="23" t="str">
        <x:v>미배정</x:v>
      </x:c>
      <x:c r="C177" s="23" t="str">
        <x:v>유지</x:v>
      </x:c>
      <x:c r="D177" s="23" t="str">
        <x:v>대전광역시</x:v>
      </x:c>
      <x:c r="E177" s="23" t="str">
        <x:v>유성구</x:v>
      </x:c>
      <x:c r="F177" s="24"/>
      <x:c r="G177" s="24"/>
      <x:c r="H177" s="25" t="n">
        <x:f>IFERROR(G177/F177,0)</x:f>
        <x:v>0</x:v>
      </x:c>
      <x:c r="I177" s="23" t="str">
        <x:v>데이터 없음</x:v>
      </x:c>
      <x:c r="J177" s="23" t="str">
        <x:v>unassigned</x:v>
      </x:c>
      <x:c r="K177" s="26" t="str">
        <x:v>unassigned</x:v>
      </x:c>
    </x:row>
    <x:row r="178">
      <x:c r="A178" s="22" t="str">
        <x:v>미배정</x:v>
      </x:c>
      <x:c r="B178" s="23" t="str">
        <x:v>미배정</x:v>
      </x:c>
      <x:c r="C178" s="23" t="str">
        <x:v>유지</x:v>
      </x:c>
      <x:c r="D178" s="23" t="str">
        <x:v>부산광역시</x:v>
      </x:c>
      <x:c r="E178" s="23" t="str">
        <x:v>금정구</x:v>
      </x:c>
      <x:c r="F178" s="24"/>
      <x:c r="G178" s="24"/>
      <x:c r="H178" s="25" t="n">
        <x:f>IFERROR(G178/F178,0)</x:f>
        <x:v>0</x:v>
      </x:c>
      <x:c r="I178" s="23" t="str">
        <x:v>데이터 없음</x:v>
      </x:c>
      <x:c r="J178" s="23" t="str">
        <x:v>unassigned</x:v>
      </x:c>
      <x:c r="K178" s="26" t="str">
        <x:v>unassigned</x:v>
      </x:c>
    </x:row>
    <x:row r="179">
      <x:c r="A179" s="22" t="str">
        <x:v>미배정</x:v>
      </x:c>
      <x:c r="B179" s="23" t="str">
        <x:v>미배정</x:v>
      </x:c>
      <x:c r="C179" s="23" t="str">
        <x:v>유지</x:v>
      </x:c>
      <x:c r="D179" s="23" t="str">
        <x:v>부산광역시</x:v>
      </x:c>
      <x:c r="E179" s="23" t="str">
        <x:v>기장군</x:v>
      </x:c>
      <x:c r="F179" s="24"/>
      <x:c r="G179" s="24"/>
      <x:c r="H179" s="25" t="n">
        <x:f>IFERROR(G179/F179,0)</x:f>
        <x:v>0</x:v>
      </x:c>
      <x:c r="I179" s="23" t="str">
        <x:v>데이터 없음</x:v>
      </x:c>
      <x:c r="J179" s="23" t="str">
        <x:v>unassigned</x:v>
      </x:c>
      <x:c r="K179" s="26" t="str">
        <x:v>unassigned</x:v>
      </x:c>
    </x:row>
    <x:row r="180">
      <x:c r="A180" s="22" t="str">
        <x:v>미배정</x:v>
      </x:c>
      <x:c r="B180" s="23" t="str">
        <x:v>미배정</x:v>
      </x:c>
      <x:c r="C180" s="23" t="str">
        <x:v>유지</x:v>
      </x:c>
      <x:c r="D180" s="23" t="str">
        <x:v>부산광역시</x:v>
      </x:c>
      <x:c r="E180" s="23" t="str">
        <x:v>남구</x:v>
      </x:c>
      <x:c r="F180" s="24"/>
      <x:c r="G180" s="24"/>
      <x:c r="H180" s="25" t="n">
        <x:f>IFERROR(G180/F180,0)</x:f>
        <x:v>0</x:v>
      </x:c>
      <x:c r="I180" s="23" t="str">
        <x:v>시도 확인 필요</x:v>
      </x:c>
      <x:c r="J180" s="23" t="str">
        <x:v>unassigned</x:v>
      </x:c>
      <x:c r="K180" s="26" t="str">
        <x:v>unassigned</x:v>
      </x:c>
    </x:row>
    <x:row r="181">
      <x:c r="A181" s="22" t="str">
        <x:v>미배정</x:v>
      </x:c>
      <x:c r="B181" s="23" t="str">
        <x:v>미배정</x:v>
      </x:c>
      <x:c r="C181" s="23" t="str">
        <x:v>유지</x:v>
      </x:c>
      <x:c r="D181" s="23" t="str">
        <x:v>부산광역시</x:v>
      </x:c>
      <x:c r="E181" s="23" t="str">
        <x:v>동래구</x:v>
      </x:c>
      <x:c r="F181" s="24"/>
      <x:c r="G181" s="24"/>
      <x:c r="H181" s="25" t="n">
        <x:f>IFERROR(G181/F181,0)</x:f>
        <x:v>0</x:v>
      </x:c>
      <x:c r="I181" s="23" t="str">
        <x:v>데이터 없음</x:v>
      </x:c>
      <x:c r="J181" s="23" t="str">
        <x:v>unassigned</x:v>
      </x:c>
      <x:c r="K181" s="26" t="str">
        <x:v>unassigned</x:v>
      </x:c>
    </x:row>
    <x:row r="182">
      <x:c r="A182" s="22" t="str">
        <x:v>미배정</x:v>
      </x:c>
      <x:c r="B182" s="23" t="str">
        <x:v>미배정</x:v>
      </x:c>
      <x:c r="C182" s="23" t="str">
        <x:v>유지</x:v>
      </x:c>
      <x:c r="D182" s="23" t="str">
        <x:v>부산광역시</x:v>
      </x:c>
      <x:c r="E182" s="23" t="str">
        <x:v>부산진구</x:v>
      </x:c>
      <x:c r="F182" s="24"/>
      <x:c r="G182" s="24"/>
      <x:c r="H182" s="25" t="n">
        <x:f>IFERROR(G182/F182,0)</x:f>
        <x:v>0</x:v>
      </x:c>
      <x:c r="I182" s="23" t="str">
        <x:v>데이터 없음</x:v>
      </x:c>
      <x:c r="J182" s="23" t="str">
        <x:v>unassigned</x:v>
      </x:c>
      <x:c r="K182" s="26" t="str">
        <x:v>unassigned</x:v>
      </x:c>
    </x:row>
    <x:row r="183">
      <x:c r="A183" s="22" t="str">
        <x:v>미배정</x:v>
      </x:c>
      <x:c r="B183" s="23" t="str">
        <x:v>미배정</x:v>
      </x:c>
      <x:c r="C183" s="23" t="str">
        <x:v>유지</x:v>
      </x:c>
      <x:c r="D183" s="23" t="str">
        <x:v>부산광역시</x:v>
      </x:c>
      <x:c r="E183" s="23" t="str">
        <x:v>북구</x:v>
      </x:c>
      <x:c r="F183" s="24"/>
      <x:c r="G183" s="24"/>
      <x:c r="H183" s="25" t="n">
        <x:f>IFERROR(G183/F183,0)</x:f>
        <x:v>0</x:v>
      </x:c>
      <x:c r="I183" s="23" t="str">
        <x:v>데이터 없음</x:v>
      </x:c>
      <x:c r="J183" s="23" t="str">
        <x:v>unassigned</x:v>
      </x:c>
      <x:c r="K183" s="26" t="str">
        <x:v>unassigned</x:v>
      </x:c>
    </x:row>
    <x:row r="184">
      <x:c r="A184" s="22" t="str">
        <x:v>미배정</x:v>
      </x:c>
      <x:c r="B184" s="23" t="str">
        <x:v>미배정</x:v>
      </x:c>
      <x:c r="C184" s="23" t="str">
        <x:v>유지</x:v>
      </x:c>
      <x:c r="D184" s="23" t="str">
        <x:v>부산광역시</x:v>
      </x:c>
      <x:c r="E184" s="23" t="str">
        <x:v>사상구</x:v>
      </x:c>
      <x:c r="F184" s="24"/>
      <x:c r="G184" s="24"/>
      <x:c r="H184" s="25" t="n">
        <x:f>IFERROR(G184/F184,0)</x:f>
        <x:v>0</x:v>
      </x:c>
      <x:c r="I184" s="23" t="str">
        <x:v>데이터 없음</x:v>
      </x:c>
      <x:c r="J184" s="23" t="str">
        <x:v>unassigned</x:v>
      </x:c>
      <x:c r="K184" s="26" t="str">
        <x:v>unassigned</x:v>
      </x:c>
    </x:row>
    <x:row r="185">
      <x:c r="A185" s="22" t="str">
        <x:v>미배정</x:v>
      </x:c>
      <x:c r="B185" s="23" t="str">
        <x:v>미배정</x:v>
      </x:c>
      <x:c r="C185" s="23" t="str">
        <x:v>유지</x:v>
      </x:c>
      <x:c r="D185" s="23" t="str">
        <x:v>부산광역시</x:v>
      </x:c>
      <x:c r="E185" s="23" t="str">
        <x:v>사하구</x:v>
      </x:c>
      <x:c r="F185" s="24"/>
      <x:c r="G185" s="24"/>
      <x:c r="H185" s="25" t="n">
        <x:f>IFERROR(G185/F185,0)</x:f>
        <x:v>0</x:v>
      </x:c>
      <x:c r="I185" s="23" t="str">
        <x:v>데이터 없음</x:v>
      </x:c>
      <x:c r="J185" s="23" t="str">
        <x:v>unassigned</x:v>
      </x:c>
      <x:c r="K185" s="26" t="str">
        <x:v>unassigned</x:v>
      </x:c>
    </x:row>
    <x:row r="186">
      <x:c r="A186" s="22" t="str">
        <x:v>미배정</x:v>
      </x:c>
      <x:c r="B186" s="23" t="str">
        <x:v>미배정</x:v>
      </x:c>
      <x:c r="C186" s="23" t="str">
        <x:v>유지</x:v>
      </x:c>
      <x:c r="D186" s="23" t="str">
        <x:v>부산광역시</x:v>
      </x:c>
      <x:c r="E186" s="23" t="str">
        <x:v>수영구</x:v>
      </x:c>
      <x:c r="F186" s="24"/>
      <x:c r="G186" s="24"/>
      <x:c r="H186" s="25" t="n">
        <x:f>IFERROR(G186/F186,0)</x:f>
        <x:v>0</x:v>
      </x:c>
      <x:c r="I186" s="23" t="str">
        <x:v>데이터 없음</x:v>
      </x:c>
      <x:c r="J186" s="23" t="str">
        <x:v>unassigned</x:v>
      </x:c>
      <x:c r="K186" s="26" t="str">
        <x:v>unassigned</x:v>
      </x:c>
    </x:row>
    <x:row r="187">
      <x:c r="A187" s="22" t="str">
        <x:v>미배정</x:v>
      </x:c>
      <x:c r="B187" s="23" t="str">
        <x:v>미배정</x:v>
      </x:c>
      <x:c r="C187" s="23" t="str">
        <x:v>유지</x:v>
      </x:c>
      <x:c r="D187" s="23" t="str">
        <x:v>부산광역시</x:v>
      </x:c>
      <x:c r="E187" s="23" t="str">
        <x:v>연제구</x:v>
      </x:c>
      <x:c r="F187" s="24"/>
      <x:c r="G187" s="24"/>
      <x:c r="H187" s="25" t="n">
        <x:f>IFERROR(G187/F187,0)</x:f>
        <x:v>0</x:v>
      </x:c>
      <x:c r="I187" s="23" t="str">
        <x:v>데이터 없음</x:v>
      </x:c>
      <x:c r="J187" s="23" t="str">
        <x:v>unassigned</x:v>
      </x:c>
      <x:c r="K187" s="26" t="str">
        <x:v>unassigned</x:v>
      </x:c>
    </x:row>
    <x:row r="188">
      <x:c r="A188" s="22" t="str">
        <x:v>미배정</x:v>
      </x:c>
      <x:c r="B188" s="23" t="str">
        <x:v>미배정</x:v>
      </x:c>
      <x:c r="C188" s="23" t="str">
        <x:v>유지</x:v>
      </x:c>
      <x:c r="D188" s="23" t="str">
        <x:v>부산광역시</x:v>
      </x:c>
      <x:c r="E188" s="23" t="str">
        <x:v>영도구</x:v>
      </x:c>
      <x:c r="F188" s="24"/>
      <x:c r="G188" s="24"/>
      <x:c r="H188" s="25" t="n">
        <x:f>IFERROR(G188/F188,0)</x:f>
        <x:v>0</x:v>
      </x:c>
      <x:c r="I188" s="23" t="str">
        <x:v>데이터 없음</x:v>
      </x:c>
      <x:c r="J188" s="23" t="str">
        <x:v>unassigned</x:v>
      </x:c>
      <x:c r="K188" s="26" t="str">
        <x:v>unassigned</x:v>
      </x:c>
    </x:row>
    <x:row r="189">
      <x:c r="A189" s="22" t="str">
        <x:v>미배정</x:v>
      </x:c>
      <x:c r="B189" s="23" t="str">
        <x:v>미배정</x:v>
      </x:c>
      <x:c r="C189" s="23" t="str">
        <x:v>유지</x:v>
      </x:c>
      <x:c r="D189" s="23" t="str">
        <x:v>부산광역시</x:v>
      </x:c>
      <x:c r="E189" s="23" t="str">
        <x:v>해운대구</x:v>
      </x:c>
      <x:c r="F189" s="24"/>
      <x:c r="G189" s="24"/>
      <x:c r="H189" s="25" t="n">
        <x:f>IFERROR(G189/F189,0)</x:f>
        <x:v>0</x:v>
      </x:c>
      <x:c r="I189" s="23" t="str">
        <x:v>데이터 없음</x:v>
      </x:c>
      <x:c r="J189" s="23" t="str">
        <x:v>unassigned</x:v>
      </x:c>
      <x:c r="K189" s="26" t="str">
        <x:v>unassigned</x:v>
      </x:c>
    </x:row>
    <x:row r="190">
      <x:c r="A190" s="22" t="str">
        <x:v>미배정</x:v>
      </x:c>
      <x:c r="B190" s="23" t="str">
        <x:v>미배정</x:v>
      </x:c>
      <x:c r="C190" s="23" t="str">
        <x:v>유지</x:v>
      </x:c>
      <x:c r="D190" s="23" t="str">
        <x:v>세종특별자치시</x:v>
      </x:c>
      <x:c r="E190" s="23" t="str">
        <x:v>세종특별자치시</x:v>
      </x:c>
      <x:c r="F190" s="24"/>
      <x:c r="G190" s="24"/>
      <x:c r="H190" s="25" t="n">
        <x:f>IFERROR(G190/F190,0)</x:f>
        <x:v>0</x:v>
      </x:c>
      <x:c r="I190" s="23" t="str">
        <x:v>데이터 없음</x:v>
      </x:c>
      <x:c r="J190" s="23" t="str">
        <x:v>unassigned</x:v>
      </x:c>
      <x:c r="K190" s="26" t="str">
        <x:v>unassigned</x:v>
      </x:c>
    </x:row>
    <x:row r="191">
      <x:c r="A191" s="22" t="str">
        <x:v>미배정</x:v>
      </x:c>
      <x:c r="B191" s="23" t="str">
        <x:v>미배정</x:v>
      </x:c>
      <x:c r="C191" s="23" t="str">
        <x:v>유지</x:v>
      </x:c>
      <x:c r="D191" s="23" t="str">
        <x:v>울산광역시</x:v>
      </x:c>
      <x:c r="E191" s="23" t="str">
        <x:v>남구</x:v>
      </x:c>
      <x:c r="F191" s="24"/>
      <x:c r="G191" s="24"/>
      <x:c r="H191" s="25" t="n">
        <x:f>IFERROR(G191/F191,0)</x:f>
        <x:v>0</x:v>
      </x:c>
      <x:c r="I191" s="23" t="str">
        <x:v>시도 확인 필요</x:v>
      </x:c>
      <x:c r="J191" s="23" t="str">
        <x:v>unassigned</x:v>
      </x:c>
      <x:c r="K191" s="26" t="str">
        <x:v>unassigned</x:v>
      </x:c>
    </x:row>
    <x:row r="192">
      <x:c r="A192" s="22" t="str">
        <x:v>미배정</x:v>
      </x:c>
      <x:c r="B192" s="23" t="str">
        <x:v>미배정</x:v>
      </x:c>
      <x:c r="C192" s="23" t="str">
        <x:v>유지</x:v>
      </x:c>
      <x:c r="D192" s="23" t="str">
        <x:v>울산광역시</x:v>
      </x:c>
      <x:c r="E192" s="23" t="str">
        <x:v>북구</x:v>
      </x:c>
      <x:c r="F192" s="24"/>
      <x:c r="G192" s="24"/>
      <x:c r="H192" s="25" t="n">
        <x:f>IFERROR(G192/F192,0)</x:f>
        <x:v>0</x:v>
      </x:c>
      <x:c r="I192" s="23" t="str">
        <x:v>데이터 없음</x:v>
      </x:c>
      <x:c r="J192" s="23" t="str">
        <x:v>unassigned</x:v>
      </x:c>
      <x:c r="K192" s="26" t="str">
        <x:v>unassigned</x:v>
      </x:c>
    </x:row>
    <x:row r="193">
      <x:c r="A193" s="22" t="str">
        <x:v>미배정</x:v>
      </x:c>
      <x:c r="B193" s="23" t="str">
        <x:v>미배정</x:v>
      </x:c>
      <x:c r="C193" s="23" t="str">
        <x:v>유지</x:v>
      </x:c>
      <x:c r="D193" s="23" t="str">
        <x:v>울산광역시</x:v>
      </x:c>
      <x:c r="E193" s="23" t="str">
        <x:v>울주군</x:v>
      </x:c>
      <x:c r="F193" s="24"/>
      <x:c r="G193" s="24"/>
      <x:c r="H193" s="25" t="n">
        <x:f>IFERROR(G193/F193,0)</x:f>
        <x:v>0</x:v>
      </x:c>
      <x:c r="I193" s="23" t="str">
        <x:v>데이터 없음</x:v>
      </x:c>
      <x:c r="J193" s="23" t="str">
        <x:v>unassigned</x:v>
      </x:c>
      <x:c r="K193" s="26" t="str">
        <x:v>unassigned</x:v>
      </x:c>
    </x:row>
    <x:row r="194">
      <x:c r="A194" s="22" t="str">
        <x:v>미배정</x:v>
      </x:c>
      <x:c r="B194" s="23" t="str">
        <x:v>미배정</x:v>
      </x:c>
      <x:c r="C194" s="23" t="str">
        <x:v>유지</x:v>
      </x:c>
      <x:c r="D194" s="23" t="str">
        <x:v>전라남도</x:v>
      </x:c>
      <x:c r="E194" s="23" t="str">
        <x:v>강진군</x:v>
      </x:c>
      <x:c r="F194" s="24"/>
      <x:c r="G194" s="24"/>
      <x:c r="H194" s="25" t="n">
        <x:f>IFERROR(G194/F194,0)</x:f>
        <x:v>0</x:v>
      </x:c>
      <x:c r="I194" s="23" t="str">
        <x:v>데이터 없음</x:v>
      </x:c>
      <x:c r="J194" s="23" t="str">
        <x:v>unassigned</x:v>
      </x:c>
      <x:c r="K194" s="26" t="str">
        <x:v>unassigned</x:v>
      </x:c>
    </x:row>
    <x:row r="195">
      <x:c r="A195" s="22" t="str">
        <x:v>미배정</x:v>
      </x:c>
      <x:c r="B195" s="23" t="str">
        <x:v>미배정</x:v>
      </x:c>
      <x:c r="C195" s="23" t="str">
        <x:v>유지</x:v>
      </x:c>
      <x:c r="D195" s="23" t="str">
        <x:v>전라남도</x:v>
      </x:c>
      <x:c r="E195" s="23" t="str">
        <x:v>고흥군</x:v>
      </x:c>
      <x:c r="F195" s="24"/>
      <x:c r="G195" s="24"/>
      <x:c r="H195" s="25" t="n">
        <x:f>IFERROR(G195/F195,0)</x:f>
        <x:v>0</x:v>
      </x:c>
      <x:c r="I195" s="23" t="str">
        <x:v>데이터 없음</x:v>
      </x:c>
      <x:c r="J195" s="23" t="str">
        <x:v>unassigned</x:v>
      </x:c>
      <x:c r="K195" s="26" t="str">
        <x:v>unassigned</x:v>
      </x:c>
    </x:row>
    <x:row r="196">
      <x:c r="A196" s="22" t="str">
        <x:v>미배정</x:v>
      </x:c>
      <x:c r="B196" s="23" t="str">
        <x:v>미배정</x:v>
      </x:c>
      <x:c r="C196" s="23" t="str">
        <x:v>유지</x:v>
      </x:c>
      <x:c r="D196" s="23" t="str">
        <x:v>전라남도</x:v>
      </x:c>
      <x:c r="E196" s="23" t="str">
        <x:v>곡성군</x:v>
      </x:c>
      <x:c r="F196" s="24"/>
      <x:c r="G196" s="24"/>
      <x:c r="H196" s="25" t="n">
        <x:f>IFERROR(G196/F196,0)</x:f>
        <x:v>0</x:v>
      </x:c>
      <x:c r="I196" s="23" t="str">
        <x:v>데이터 없음</x:v>
      </x:c>
      <x:c r="J196" s="23" t="str">
        <x:v>unassigned</x:v>
      </x:c>
      <x:c r="K196" s="26" t="str">
        <x:v>unassigned</x:v>
      </x:c>
    </x:row>
    <x:row r="197">
      <x:c r="A197" s="22" t="str">
        <x:v>미배정</x:v>
      </x:c>
      <x:c r="B197" s="23" t="str">
        <x:v>미배정</x:v>
      </x:c>
      <x:c r="C197" s="23" t="str">
        <x:v>유지</x:v>
      </x:c>
      <x:c r="D197" s="23" t="str">
        <x:v>전라남도</x:v>
      </x:c>
      <x:c r="E197" s="23" t="str">
        <x:v>광양시</x:v>
      </x:c>
      <x:c r="F197" s="24"/>
      <x:c r="G197" s="24"/>
      <x:c r="H197" s="25" t="n">
        <x:f>IFERROR(G197/F197,0)</x:f>
        <x:v>0</x:v>
      </x:c>
      <x:c r="I197" s="23" t="str">
        <x:v>데이터 없음</x:v>
      </x:c>
      <x:c r="J197" s="23" t="str">
        <x:v>unassigned</x:v>
      </x:c>
      <x:c r="K197" s="26" t="str">
        <x:v>unassigned</x:v>
      </x:c>
    </x:row>
    <x:row r="198">
      <x:c r="A198" s="22" t="str">
        <x:v>미배정</x:v>
      </x:c>
      <x:c r="B198" s="23" t="str">
        <x:v>미배정</x:v>
      </x:c>
      <x:c r="C198" s="23" t="str">
        <x:v>유지</x:v>
      </x:c>
      <x:c r="D198" s="23" t="str">
        <x:v>전라남도</x:v>
      </x:c>
      <x:c r="E198" s="23" t="str">
        <x:v>구례군</x:v>
      </x:c>
      <x:c r="F198" s="24"/>
      <x:c r="G198" s="24"/>
      <x:c r="H198" s="25" t="n">
        <x:f>IFERROR(G198/F198,0)</x:f>
        <x:v>0</x:v>
      </x:c>
      <x:c r="I198" s="23" t="str">
        <x:v>데이터 없음</x:v>
      </x:c>
      <x:c r="J198" s="23" t="str">
        <x:v>unassigned</x:v>
      </x:c>
      <x:c r="K198" s="26" t="str">
        <x:v>unassigned</x:v>
      </x:c>
    </x:row>
    <x:row r="199">
      <x:c r="A199" s="22" t="str">
        <x:v>미배정</x:v>
      </x:c>
      <x:c r="B199" s="23" t="str">
        <x:v>미배정</x:v>
      </x:c>
      <x:c r="C199" s="23" t="str">
        <x:v>유지</x:v>
      </x:c>
      <x:c r="D199" s="23" t="str">
        <x:v>전라남도</x:v>
      </x:c>
      <x:c r="E199" s="23" t="str">
        <x:v>나주시</x:v>
      </x:c>
      <x:c r="F199" s="24"/>
      <x:c r="G199" s="24"/>
      <x:c r="H199" s="25" t="n">
        <x:f>IFERROR(G199/F199,0)</x:f>
        <x:v>0</x:v>
      </x:c>
      <x:c r="I199" s="23" t="str">
        <x:v>데이터 없음</x:v>
      </x:c>
      <x:c r="J199" s="23" t="str">
        <x:v>unassigned</x:v>
      </x:c>
      <x:c r="K199" s="26" t="str">
        <x:v>unassigned</x:v>
      </x:c>
    </x:row>
    <x:row r="200">
      <x:c r="A200" s="22" t="str">
        <x:v>미배정</x:v>
      </x:c>
      <x:c r="B200" s="23" t="str">
        <x:v>미배정</x:v>
      </x:c>
      <x:c r="C200" s="23" t="str">
        <x:v>유지</x:v>
      </x:c>
      <x:c r="D200" s="23" t="str">
        <x:v>전라남도</x:v>
      </x:c>
      <x:c r="E200" s="23" t="str">
        <x:v>담양군</x:v>
      </x:c>
      <x:c r="F200" s="24"/>
      <x:c r="G200" s="24"/>
      <x:c r="H200" s="25" t="n">
        <x:f>IFERROR(G200/F200,0)</x:f>
        <x:v>0</x:v>
      </x:c>
      <x:c r="I200" s="23" t="str">
        <x:v>데이터 없음</x:v>
      </x:c>
      <x:c r="J200" s="23" t="str">
        <x:v>unassigned</x:v>
      </x:c>
      <x:c r="K200" s="26" t="str">
        <x:v>unassigned</x:v>
      </x:c>
    </x:row>
    <x:row r="201">
      <x:c r="A201" s="22" t="str">
        <x:v>미배정</x:v>
      </x:c>
      <x:c r="B201" s="23" t="str">
        <x:v>미배정</x:v>
      </x:c>
      <x:c r="C201" s="23" t="str">
        <x:v>유지</x:v>
      </x:c>
      <x:c r="D201" s="23" t="str">
        <x:v>전라남도</x:v>
      </x:c>
      <x:c r="E201" s="23" t="str">
        <x:v>목포시</x:v>
      </x:c>
      <x:c r="F201" s="24"/>
      <x:c r="G201" s="24"/>
      <x:c r="H201" s="25" t="n">
        <x:f>IFERROR(G201/F201,0)</x:f>
        <x:v>0</x:v>
      </x:c>
      <x:c r="I201" s="23" t="str">
        <x:v>데이터 없음</x:v>
      </x:c>
      <x:c r="J201" s="23" t="str">
        <x:v>unassigned</x:v>
      </x:c>
      <x:c r="K201" s="26" t="str">
        <x:v>unassigned</x:v>
      </x:c>
    </x:row>
    <x:row r="202">
      <x:c r="A202" s="22" t="str">
        <x:v>미배정</x:v>
      </x:c>
      <x:c r="B202" s="23" t="str">
        <x:v>미배정</x:v>
      </x:c>
      <x:c r="C202" s="23" t="str">
        <x:v>유지</x:v>
      </x:c>
      <x:c r="D202" s="23" t="str">
        <x:v>전라남도</x:v>
      </x:c>
      <x:c r="E202" s="23" t="str">
        <x:v>무안군</x:v>
      </x:c>
      <x:c r="F202" s="24"/>
      <x:c r="G202" s="24"/>
      <x:c r="H202" s="25" t="n">
        <x:f>IFERROR(G202/F202,0)</x:f>
        <x:v>0</x:v>
      </x:c>
      <x:c r="I202" s="23" t="str">
        <x:v>데이터 없음</x:v>
      </x:c>
      <x:c r="J202" s="23" t="str">
        <x:v>unassigned</x:v>
      </x:c>
      <x:c r="K202" s="26" t="str">
        <x:v>unassigned</x:v>
      </x:c>
    </x:row>
    <x:row r="203">
      <x:c r="A203" s="22" t="str">
        <x:v>미배정</x:v>
      </x:c>
      <x:c r="B203" s="23" t="str">
        <x:v>미배정</x:v>
      </x:c>
      <x:c r="C203" s="23" t="str">
        <x:v>유지</x:v>
      </x:c>
      <x:c r="D203" s="23" t="str">
        <x:v>전라남도</x:v>
      </x:c>
      <x:c r="E203" s="23" t="str">
        <x:v>보성군</x:v>
      </x:c>
      <x:c r="F203" s="24"/>
      <x:c r="G203" s="24"/>
      <x:c r="H203" s="25" t="n">
        <x:f>IFERROR(G203/F203,0)</x:f>
        <x:v>0</x:v>
      </x:c>
      <x:c r="I203" s="23" t="str">
        <x:v>데이터 없음</x:v>
      </x:c>
      <x:c r="J203" s="23" t="str">
        <x:v>unassigned</x:v>
      </x:c>
      <x:c r="K203" s="26" t="str">
        <x:v>unassigned</x:v>
      </x:c>
    </x:row>
    <x:row r="204">
      <x:c r="A204" s="22" t="str">
        <x:v>미배정</x:v>
      </x:c>
      <x:c r="B204" s="23" t="str">
        <x:v>미배정</x:v>
      </x:c>
      <x:c r="C204" s="23" t="str">
        <x:v>유지</x:v>
      </x:c>
      <x:c r="D204" s="23" t="str">
        <x:v>전라남도</x:v>
      </x:c>
      <x:c r="E204" s="23" t="str">
        <x:v>순천시</x:v>
      </x:c>
      <x:c r="F204" s="24"/>
      <x:c r="G204" s="24"/>
      <x:c r="H204" s="25" t="n">
        <x:f>IFERROR(G204/F204,0)</x:f>
        <x:v>0</x:v>
      </x:c>
      <x:c r="I204" s="23" t="str">
        <x:v>데이터 없음</x:v>
      </x:c>
      <x:c r="J204" s="23" t="str">
        <x:v>unassigned</x:v>
      </x:c>
      <x:c r="K204" s="26" t="str">
        <x:v>unassigned</x:v>
      </x:c>
    </x:row>
    <x:row r="205">
      <x:c r="A205" s="22" t="str">
        <x:v>미배정</x:v>
      </x:c>
      <x:c r="B205" s="23" t="str">
        <x:v>미배정</x:v>
      </x:c>
      <x:c r="C205" s="23" t="str">
        <x:v>유지</x:v>
      </x:c>
      <x:c r="D205" s="23" t="str">
        <x:v>전라남도</x:v>
      </x:c>
      <x:c r="E205" s="23" t="str">
        <x:v>신안군</x:v>
      </x:c>
      <x:c r="F205" s="24"/>
      <x:c r="G205" s="24"/>
      <x:c r="H205" s="25" t="n">
        <x:f>IFERROR(G205/F205,0)</x:f>
        <x:v>0</x:v>
      </x:c>
      <x:c r="I205" s="23" t="str">
        <x:v>데이터 없음</x:v>
      </x:c>
      <x:c r="J205" s="23" t="str">
        <x:v>unassigned</x:v>
      </x:c>
      <x:c r="K205" s="26" t="str">
        <x:v>unassigned</x:v>
      </x:c>
    </x:row>
    <x:row r="206">
      <x:c r="A206" s="22" t="str">
        <x:v>미배정</x:v>
      </x:c>
      <x:c r="B206" s="23" t="str">
        <x:v>미배정</x:v>
      </x:c>
      <x:c r="C206" s="23" t="str">
        <x:v>유지</x:v>
      </x:c>
      <x:c r="D206" s="23" t="str">
        <x:v>전라남도</x:v>
      </x:c>
      <x:c r="E206" s="23" t="str">
        <x:v>여수시</x:v>
      </x:c>
      <x:c r="F206" s="24"/>
      <x:c r="G206" s="24"/>
      <x:c r="H206" s="25" t="n">
        <x:f>IFERROR(G206/F206,0)</x:f>
        <x:v>0</x:v>
      </x:c>
      <x:c r="I206" s="23" t="str">
        <x:v>데이터 없음</x:v>
      </x:c>
      <x:c r="J206" s="23" t="str">
        <x:v>unassigned</x:v>
      </x:c>
      <x:c r="K206" s="26" t="str">
        <x:v>unassigned</x:v>
      </x:c>
    </x:row>
    <x:row r="207">
      <x:c r="A207" s="22" t="str">
        <x:v>미배정</x:v>
      </x:c>
      <x:c r="B207" s="23" t="str">
        <x:v>미배정</x:v>
      </x:c>
      <x:c r="C207" s="23" t="str">
        <x:v>유지</x:v>
      </x:c>
      <x:c r="D207" s="23" t="str">
        <x:v>전라남도</x:v>
      </x:c>
      <x:c r="E207" s="23" t="str">
        <x:v>영광군</x:v>
      </x:c>
      <x:c r="F207" s="24"/>
      <x:c r="G207" s="24"/>
      <x:c r="H207" s="25" t="n">
        <x:f>IFERROR(G207/F207,0)</x:f>
        <x:v>0</x:v>
      </x:c>
      <x:c r="I207" s="23" t="str">
        <x:v>데이터 없음</x:v>
      </x:c>
      <x:c r="J207" s="23" t="str">
        <x:v>unassigned</x:v>
      </x:c>
      <x:c r="K207" s="26" t="str">
        <x:v>unassigned</x:v>
      </x:c>
    </x:row>
    <x:row r="208">
      <x:c r="A208" s="22" t="str">
        <x:v>미배정</x:v>
      </x:c>
      <x:c r="B208" s="23" t="str">
        <x:v>미배정</x:v>
      </x:c>
      <x:c r="C208" s="23" t="str">
        <x:v>유지</x:v>
      </x:c>
      <x:c r="D208" s="23" t="str">
        <x:v>전라남도</x:v>
      </x:c>
      <x:c r="E208" s="23" t="str">
        <x:v>영암군</x:v>
      </x:c>
      <x:c r="F208" s="24"/>
      <x:c r="G208" s="24"/>
      <x:c r="H208" s="25" t="n">
        <x:f>IFERROR(G208/F208,0)</x:f>
        <x:v>0</x:v>
      </x:c>
      <x:c r="I208" s="23" t="str">
        <x:v>데이터 없음</x:v>
      </x:c>
      <x:c r="J208" s="23" t="str">
        <x:v>unassigned</x:v>
      </x:c>
      <x:c r="K208" s="26" t="str">
        <x:v>unassigned</x:v>
      </x:c>
    </x:row>
    <x:row r="209">
      <x:c r="A209" s="22" t="str">
        <x:v>미배정</x:v>
      </x:c>
      <x:c r="B209" s="23" t="str">
        <x:v>미배정</x:v>
      </x:c>
      <x:c r="C209" s="23" t="str">
        <x:v>유지</x:v>
      </x:c>
      <x:c r="D209" s="23" t="str">
        <x:v>전라남도</x:v>
      </x:c>
      <x:c r="E209" s="23" t="str">
        <x:v>완도군</x:v>
      </x:c>
      <x:c r="F209" s="24"/>
      <x:c r="G209" s="24"/>
      <x:c r="H209" s="25" t="n">
        <x:f>IFERROR(G209/F209,0)</x:f>
        <x:v>0</x:v>
      </x:c>
      <x:c r="I209" s="23" t="str">
        <x:v>데이터 없음</x:v>
      </x:c>
      <x:c r="J209" s="23" t="str">
        <x:v>unassigned</x:v>
      </x:c>
      <x:c r="K209" s="26" t="str">
        <x:v>unassigned</x:v>
      </x:c>
    </x:row>
    <x:row r="210">
      <x:c r="A210" s="22" t="str">
        <x:v>미배정</x:v>
      </x:c>
      <x:c r="B210" s="23" t="str">
        <x:v>미배정</x:v>
      </x:c>
      <x:c r="C210" s="23" t="str">
        <x:v>유지</x:v>
      </x:c>
      <x:c r="D210" s="23" t="str">
        <x:v>전라남도</x:v>
      </x:c>
      <x:c r="E210" s="23" t="str">
        <x:v>장성군</x:v>
      </x:c>
      <x:c r="F210" s="24"/>
      <x:c r="G210" s="24"/>
      <x:c r="H210" s="25" t="n">
        <x:f>IFERROR(G210/F210,0)</x:f>
        <x:v>0</x:v>
      </x:c>
      <x:c r="I210" s="23" t="str">
        <x:v>데이터 없음</x:v>
      </x:c>
      <x:c r="J210" s="23" t="str">
        <x:v>unassigned</x:v>
      </x:c>
      <x:c r="K210" s="26" t="str">
        <x:v>unassigned</x:v>
      </x:c>
    </x:row>
    <x:row r="211">
      <x:c r="A211" s="22" t="str">
        <x:v>미배정</x:v>
      </x:c>
      <x:c r="B211" s="23" t="str">
        <x:v>미배정</x:v>
      </x:c>
      <x:c r="C211" s="23" t="str">
        <x:v>유지</x:v>
      </x:c>
      <x:c r="D211" s="23" t="str">
        <x:v>전라남도</x:v>
      </x:c>
      <x:c r="E211" s="23" t="str">
        <x:v>장흥군</x:v>
      </x:c>
      <x:c r="F211" s="24"/>
      <x:c r="G211" s="24"/>
      <x:c r="H211" s="25" t="n">
        <x:f>IFERROR(G211/F211,0)</x:f>
        <x:v>0</x:v>
      </x:c>
      <x:c r="I211" s="23" t="str">
        <x:v>데이터 없음</x:v>
      </x:c>
      <x:c r="J211" s="23" t="str">
        <x:v>unassigned</x:v>
      </x:c>
      <x:c r="K211" s="26" t="str">
        <x:v>unassigned</x:v>
      </x:c>
    </x:row>
    <x:row r="212">
      <x:c r="A212" s="22" t="str">
        <x:v>미배정</x:v>
      </x:c>
      <x:c r="B212" s="23" t="str">
        <x:v>미배정</x:v>
      </x:c>
      <x:c r="C212" s="23" t="str">
        <x:v>유지</x:v>
      </x:c>
      <x:c r="D212" s="23" t="str">
        <x:v>전라남도</x:v>
      </x:c>
      <x:c r="E212" s="23" t="str">
        <x:v>진도군</x:v>
      </x:c>
      <x:c r="F212" s="24"/>
      <x:c r="G212" s="24"/>
      <x:c r="H212" s="25" t="n">
        <x:f>IFERROR(G212/F212,0)</x:f>
        <x:v>0</x:v>
      </x:c>
      <x:c r="I212" s="23" t="str">
        <x:v>데이터 없음</x:v>
      </x:c>
      <x:c r="J212" s="23" t="str">
        <x:v>unassigned</x:v>
      </x:c>
      <x:c r="K212" s="26" t="str">
        <x:v>unassigned</x:v>
      </x:c>
    </x:row>
    <x:row r="213">
      <x:c r="A213" s="22" t="str">
        <x:v>미배정</x:v>
      </x:c>
      <x:c r="B213" s="23" t="str">
        <x:v>미배정</x:v>
      </x:c>
      <x:c r="C213" s="23" t="str">
        <x:v>유지</x:v>
      </x:c>
      <x:c r="D213" s="23" t="str">
        <x:v>전라남도</x:v>
      </x:c>
      <x:c r="E213" s="23" t="str">
        <x:v>함평군</x:v>
      </x:c>
      <x:c r="F213" s="24"/>
      <x:c r="G213" s="24"/>
      <x:c r="H213" s="25" t="n">
        <x:f>IFERROR(G213/F213,0)</x:f>
        <x:v>0</x:v>
      </x:c>
      <x:c r="I213" s="23" t="str">
        <x:v>데이터 없음</x:v>
      </x:c>
      <x:c r="J213" s="23" t="str">
        <x:v>unassigned</x:v>
      </x:c>
      <x:c r="K213" s="26" t="str">
        <x:v>unassigned</x:v>
      </x:c>
    </x:row>
    <x:row r="214">
      <x:c r="A214" s="22" t="str">
        <x:v>미배정</x:v>
      </x:c>
      <x:c r="B214" s="23" t="str">
        <x:v>미배정</x:v>
      </x:c>
      <x:c r="C214" s="23" t="str">
        <x:v>유지</x:v>
      </x:c>
      <x:c r="D214" s="23" t="str">
        <x:v>전라남도</x:v>
      </x:c>
      <x:c r="E214" s="23" t="str">
        <x:v>해남군</x:v>
      </x:c>
      <x:c r="F214" s="24"/>
      <x:c r="G214" s="24"/>
      <x:c r="H214" s="25" t="n">
        <x:f>IFERROR(G214/F214,0)</x:f>
        <x:v>0</x:v>
      </x:c>
      <x:c r="I214" s="23" t="str">
        <x:v>데이터 없음</x:v>
      </x:c>
      <x:c r="J214" s="23" t="str">
        <x:v>unassigned</x:v>
      </x:c>
      <x:c r="K214" s="26" t="str">
        <x:v>unassigned</x:v>
      </x:c>
    </x:row>
    <x:row r="215">
      <x:c r="A215" s="22" t="str">
        <x:v>미배정</x:v>
      </x:c>
      <x:c r="B215" s="23" t="str">
        <x:v>미배정</x:v>
      </x:c>
      <x:c r="C215" s="23" t="str">
        <x:v>유지</x:v>
      </x:c>
      <x:c r="D215" s="23" t="str">
        <x:v>전라남도</x:v>
      </x:c>
      <x:c r="E215" s="23" t="str">
        <x:v>화순군</x:v>
      </x:c>
      <x:c r="F215" s="24"/>
      <x:c r="G215" s="24"/>
      <x:c r="H215" s="25" t="n">
        <x:f>IFERROR(G215/F215,0)</x:f>
        <x:v>0</x:v>
      </x:c>
      <x:c r="I215" s="23" t="str">
        <x:v>데이터 없음</x:v>
      </x:c>
      <x:c r="J215" s="23" t="str">
        <x:v>unassigned</x:v>
      </x:c>
      <x:c r="K215" s="26" t="str">
        <x:v>unassigned</x:v>
      </x:c>
    </x:row>
    <x:row r="216">
      <x:c r="A216" s="22" t="str">
        <x:v>미배정</x:v>
      </x:c>
      <x:c r="B216" s="23" t="str">
        <x:v>미배정</x:v>
      </x:c>
      <x:c r="C216" s="23" t="str">
        <x:v>유지</x:v>
      </x:c>
      <x:c r="D216" s="23" t="str">
        <x:v>전북특별자치도</x:v>
      </x:c>
      <x:c r="E216" s="23" t="str">
        <x:v>고창군</x:v>
      </x:c>
      <x:c r="F216" s="24"/>
      <x:c r="G216" s="24"/>
      <x:c r="H216" s="25" t="n">
        <x:f>IFERROR(G216/F216,0)</x:f>
        <x:v>0</x:v>
      </x:c>
      <x:c r="I216" s="23" t="str">
        <x:v>데이터 없음</x:v>
      </x:c>
      <x:c r="J216" s="23" t="str">
        <x:v>unassigned</x:v>
      </x:c>
      <x:c r="K216" s="26" t="str">
        <x:v>unassigned</x:v>
      </x:c>
    </x:row>
    <x:row r="217">
      <x:c r="A217" s="22" t="str">
        <x:v>미배정</x:v>
      </x:c>
      <x:c r="B217" s="23" t="str">
        <x:v>미배정</x:v>
      </x:c>
      <x:c r="C217" s="23" t="str">
        <x:v>유지</x:v>
      </x:c>
      <x:c r="D217" s="23" t="str">
        <x:v>전북특별자치도</x:v>
      </x:c>
      <x:c r="E217" s="23" t="str">
        <x:v>군산시</x:v>
      </x:c>
      <x:c r="F217" s="24"/>
      <x:c r="G217" s="24"/>
      <x:c r="H217" s="25" t="n">
        <x:f>IFERROR(G217/F217,0)</x:f>
        <x:v>0</x:v>
      </x:c>
      <x:c r="I217" s="23" t="str">
        <x:v>데이터 없음</x:v>
      </x:c>
      <x:c r="J217" s="23" t="str">
        <x:v>unassigned</x:v>
      </x:c>
      <x:c r="K217" s="26" t="str">
        <x:v>unassigned</x:v>
      </x:c>
    </x:row>
    <x:row r="218">
      <x:c r="A218" s="22" t="str">
        <x:v>미배정</x:v>
      </x:c>
      <x:c r="B218" s="23" t="str">
        <x:v>미배정</x:v>
      </x:c>
      <x:c r="C218" s="23" t="str">
        <x:v>유지</x:v>
      </x:c>
      <x:c r="D218" s="23" t="str">
        <x:v>전북특별자치도</x:v>
      </x:c>
      <x:c r="E218" s="23" t="str">
        <x:v>김제시</x:v>
      </x:c>
      <x:c r="F218" s="24"/>
      <x:c r="G218" s="24"/>
      <x:c r="H218" s="25" t="n">
        <x:f>IFERROR(G218/F218,0)</x:f>
        <x:v>0</x:v>
      </x:c>
      <x:c r="I218" s="23" t="str">
        <x:v>데이터 없음</x:v>
      </x:c>
      <x:c r="J218" s="23" t="str">
        <x:v>unassigned</x:v>
      </x:c>
      <x:c r="K218" s="26" t="str">
        <x:v>unassigned</x:v>
      </x:c>
    </x:row>
    <x:row r="219">
      <x:c r="A219" s="22" t="str">
        <x:v>미배정</x:v>
      </x:c>
      <x:c r="B219" s="23" t="str">
        <x:v>미배정</x:v>
      </x:c>
      <x:c r="C219" s="23" t="str">
        <x:v>유지</x:v>
      </x:c>
      <x:c r="D219" s="23" t="str">
        <x:v>전북특별자치도</x:v>
      </x:c>
      <x:c r="E219" s="23" t="str">
        <x:v>남원시</x:v>
      </x:c>
      <x:c r="F219" s="24"/>
      <x:c r="G219" s="24"/>
      <x:c r="H219" s="25" t="n">
        <x:f>IFERROR(G219/F219,0)</x:f>
        <x:v>0</x:v>
      </x:c>
      <x:c r="I219" s="23" t="str">
        <x:v>데이터 없음</x:v>
      </x:c>
      <x:c r="J219" s="23" t="str">
        <x:v>unassigned</x:v>
      </x:c>
      <x:c r="K219" s="26" t="str">
        <x:v>unassigned</x:v>
      </x:c>
    </x:row>
    <x:row r="220">
      <x:c r="A220" s="22" t="str">
        <x:v>미배정</x:v>
      </x:c>
      <x:c r="B220" s="23" t="str">
        <x:v>미배정</x:v>
      </x:c>
      <x:c r="C220" s="23" t="str">
        <x:v>유지</x:v>
      </x:c>
      <x:c r="D220" s="23" t="str">
        <x:v>전북특별자치도</x:v>
      </x:c>
      <x:c r="E220" s="23" t="str">
        <x:v>무주군</x:v>
      </x:c>
      <x:c r="F220" s="24"/>
      <x:c r="G220" s="24"/>
      <x:c r="H220" s="25" t="n">
        <x:f>IFERROR(G220/F220,0)</x:f>
        <x:v>0</x:v>
      </x:c>
      <x:c r="I220" s="23" t="str">
        <x:v>데이터 없음</x:v>
      </x:c>
      <x:c r="J220" s="23" t="str">
        <x:v>unassigned</x:v>
      </x:c>
      <x:c r="K220" s="26" t="str">
        <x:v>unassigned</x:v>
      </x:c>
    </x:row>
    <x:row r="221">
      <x:c r="A221" s="22" t="str">
        <x:v>미배정</x:v>
      </x:c>
      <x:c r="B221" s="23" t="str">
        <x:v>미배정</x:v>
      </x:c>
      <x:c r="C221" s="23" t="str">
        <x:v>유지</x:v>
      </x:c>
      <x:c r="D221" s="23" t="str">
        <x:v>전북특별자치도</x:v>
      </x:c>
      <x:c r="E221" s="23" t="str">
        <x:v>부안군</x:v>
      </x:c>
      <x:c r="F221" s="24"/>
      <x:c r="G221" s="24"/>
      <x:c r="H221" s="25" t="n">
        <x:f>IFERROR(G221/F221,0)</x:f>
        <x:v>0</x:v>
      </x:c>
      <x:c r="I221" s="23" t="str">
        <x:v>데이터 없음</x:v>
      </x:c>
      <x:c r="J221" s="23" t="str">
        <x:v>unassigned</x:v>
      </x:c>
      <x:c r="K221" s="26" t="str">
        <x:v>unassigned</x:v>
      </x:c>
    </x:row>
    <x:row r="222">
      <x:c r="A222" s="22" t="str">
        <x:v>미배정</x:v>
      </x:c>
      <x:c r="B222" s="23" t="str">
        <x:v>미배정</x:v>
      </x:c>
      <x:c r="C222" s="23" t="str">
        <x:v>유지</x:v>
      </x:c>
      <x:c r="D222" s="23" t="str">
        <x:v>전북특별자치도</x:v>
      </x:c>
      <x:c r="E222" s="23" t="str">
        <x:v>순창군</x:v>
      </x:c>
      <x:c r="F222" s="24"/>
      <x:c r="G222" s="24"/>
      <x:c r="H222" s="25" t="n">
        <x:f>IFERROR(G222/F222,0)</x:f>
        <x:v>0</x:v>
      </x:c>
      <x:c r="I222" s="23" t="str">
        <x:v>데이터 없음</x:v>
      </x:c>
      <x:c r="J222" s="23" t="str">
        <x:v>unassigned</x:v>
      </x:c>
      <x:c r="K222" s="26" t="str">
        <x:v>unassigned</x:v>
      </x:c>
    </x:row>
    <x:row r="223">
      <x:c r="A223" s="22" t="str">
        <x:v>미배정</x:v>
      </x:c>
      <x:c r="B223" s="23" t="str">
        <x:v>미배정</x:v>
      </x:c>
      <x:c r="C223" s="23" t="str">
        <x:v>유지</x:v>
      </x:c>
      <x:c r="D223" s="23" t="str">
        <x:v>전북특별자치도</x:v>
      </x:c>
      <x:c r="E223" s="23" t="str">
        <x:v>완주군</x:v>
      </x:c>
      <x:c r="F223" s="24"/>
      <x:c r="G223" s="24"/>
      <x:c r="H223" s="25" t="n">
        <x:f>IFERROR(G223/F223,0)</x:f>
        <x:v>0</x:v>
      </x:c>
      <x:c r="I223" s="23" t="str">
        <x:v>데이터 없음</x:v>
      </x:c>
      <x:c r="J223" s="23" t="str">
        <x:v>unassigned</x:v>
      </x:c>
      <x:c r="K223" s="26" t="str">
        <x:v>unassigned</x:v>
      </x:c>
    </x:row>
    <x:row r="224">
      <x:c r="A224" s="22" t="str">
        <x:v>미배정</x:v>
      </x:c>
      <x:c r="B224" s="23" t="str">
        <x:v>미배정</x:v>
      </x:c>
      <x:c r="C224" s="23" t="str">
        <x:v>유지</x:v>
      </x:c>
      <x:c r="D224" s="23" t="str">
        <x:v>전북특별자치도</x:v>
      </x:c>
      <x:c r="E224" s="23" t="str">
        <x:v>익산시</x:v>
      </x:c>
      <x:c r="F224" s="24"/>
      <x:c r="G224" s="24"/>
      <x:c r="H224" s="25" t="n">
        <x:f>IFERROR(G224/F224,0)</x:f>
        <x:v>0</x:v>
      </x:c>
      <x:c r="I224" s="23" t="str">
        <x:v>데이터 없음</x:v>
      </x:c>
      <x:c r="J224" s="23" t="str">
        <x:v>unassigned</x:v>
      </x:c>
      <x:c r="K224" s="26" t="str">
        <x:v>unassigned</x:v>
      </x:c>
    </x:row>
    <x:row r="225">
      <x:c r="A225" s="22" t="str">
        <x:v>미배정</x:v>
      </x:c>
      <x:c r="B225" s="23" t="str">
        <x:v>미배정</x:v>
      </x:c>
      <x:c r="C225" s="23" t="str">
        <x:v>유지</x:v>
      </x:c>
      <x:c r="D225" s="23" t="str">
        <x:v>전북특별자치도</x:v>
      </x:c>
      <x:c r="E225" s="23" t="str">
        <x:v>임실군</x:v>
      </x:c>
      <x:c r="F225" s="24"/>
      <x:c r="G225" s="24"/>
      <x:c r="H225" s="25" t="n">
        <x:f>IFERROR(G225/F225,0)</x:f>
        <x:v>0</x:v>
      </x:c>
      <x:c r="I225" s="23" t="str">
        <x:v>데이터 없음</x:v>
      </x:c>
      <x:c r="J225" s="23" t="str">
        <x:v>unassigned</x:v>
      </x:c>
      <x:c r="K225" s="26" t="str">
        <x:v>unassigned</x:v>
      </x:c>
    </x:row>
    <x:row r="226">
      <x:c r="A226" s="22" t="str">
        <x:v>미배정</x:v>
      </x:c>
      <x:c r="B226" s="23" t="str">
        <x:v>미배정</x:v>
      </x:c>
      <x:c r="C226" s="23" t="str">
        <x:v>유지</x:v>
      </x:c>
      <x:c r="D226" s="23" t="str">
        <x:v>전북특별자치도</x:v>
      </x:c>
      <x:c r="E226" s="23" t="str">
        <x:v>장수군</x:v>
      </x:c>
      <x:c r="F226" s="24"/>
      <x:c r="G226" s="24"/>
      <x:c r="H226" s="25" t="n">
        <x:f>IFERROR(G226/F226,0)</x:f>
        <x:v>0</x:v>
      </x:c>
      <x:c r="I226" s="23" t="str">
        <x:v>데이터 없음</x:v>
      </x:c>
      <x:c r="J226" s="23" t="str">
        <x:v>unassigned</x:v>
      </x:c>
      <x:c r="K226" s="26" t="str">
        <x:v>unassigned</x:v>
      </x:c>
    </x:row>
    <x:row r="227">
      <x:c r="A227" s="22" t="str">
        <x:v>미배정</x:v>
      </x:c>
      <x:c r="B227" s="23" t="str">
        <x:v>미배정</x:v>
      </x:c>
      <x:c r="C227" s="23" t="str">
        <x:v>유지</x:v>
      </x:c>
      <x:c r="D227" s="23" t="str">
        <x:v>전북특별자치도</x:v>
      </x:c>
      <x:c r="E227" s="23" t="str">
        <x:v>전주시 덕진구</x:v>
      </x:c>
      <x:c r="F227" s="24"/>
      <x:c r="G227" s="24"/>
      <x:c r="H227" s="25" t="n">
        <x:f>IFERROR(G227/F227,0)</x:f>
        <x:v>0</x:v>
      </x:c>
      <x:c r="I227" s="23" t="str">
        <x:v>데이터 없음</x:v>
      </x:c>
      <x:c r="J227" s="23" t="str">
        <x:v>unassigned</x:v>
      </x:c>
      <x:c r="K227" s="26" t="str">
        <x:v>unassigned</x:v>
      </x:c>
    </x:row>
    <x:row r="228">
      <x:c r="A228" s="22" t="str">
        <x:v>미배정</x:v>
      </x:c>
      <x:c r="B228" s="23" t="str">
        <x:v>미배정</x:v>
      </x:c>
      <x:c r="C228" s="23" t="str">
        <x:v>유지</x:v>
      </x:c>
      <x:c r="D228" s="23" t="str">
        <x:v>전북특별자치도</x:v>
      </x:c>
      <x:c r="E228" s="23" t="str">
        <x:v>전주시 완산구</x:v>
      </x:c>
      <x:c r="F228" s="24"/>
      <x:c r="G228" s="24"/>
      <x:c r="H228" s="25" t="n">
        <x:f>IFERROR(G228/F228,0)</x:f>
        <x:v>0</x:v>
      </x:c>
      <x:c r="I228" s="23" t="str">
        <x:v>데이터 없음</x:v>
      </x:c>
      <x:c r="J228" s="23" t="str">
        <x:v>unassigned</x:v>
      </x:c>
      <x:c r="K228" s="26" t="str">
        <x:v>unassigned</x:v>
      </x:c>
    </x:row>
    <x:row r="229">
      <x:c r="A229" s="22" t="str">
        <x:v>미배정</x:v>
      </x:c>
      <x:c r="B229" s="23" t="str">
        <x:v>미배정</x:v>
      </x:c>
      <x:c r="C229" s="23" t="str">
        <x:v>유지</x:v>
      </x:c>
      <x:c r="D229" s="23" t="str">
        <x:v>전북특별자치도</x:v>
      </x:c>
      <x:c r="E229" s="23" t="str">
        <x:v>정읍시</x:v>
      </x:c>
      <x:c r="F229" s="24"/>
      <x:c r="G229" s="24"/>
      <x:c r="H229" s="25" t="n">
        <x:f>IFERROR(G229/F229,0)</x:f>
        <x:v>0</x:v>
      </x:c>
      <x:c r="I229" s="23" t="str">
        <x:v>데이터 없음</x:v>
      </x:c>
      <x:c r="J229" s="23" t="str">
        <x:v>unassigned</x:v>
      </x:c>
      <x:c r="K229" s="26" t="str">
        <x:v>unassigned</x:v>
      </x:c>
    </x:row>
    <x:row r="230">
      <x:c r="A230" s="22" t="str">
        <x:v>미배정</x:v>
      </x:c>
      <x:c r="B230" s="23" t="str">
        <x:v>미배정</x:v>
      </x:c>
      <x:c r="C230" s="23" t="str">
        <x:v>유지</x:v>
      </x:c>
      <x:c r="D230" s="23" t="str">
        <x:v>전북특별자치도</x:v>
      </x:c>
      <x:c r="E230" s="23" t="str">
        <x:v>진안군</x:v>
      </x:c>
      <x:c r="F230" s="24"/>
      <x:c r="G230" s="24"/>
      <x:c r="H230" s="25" t="n">
        <x:f>IFERROR(G230/F230,0)</x:f>
        <x:v>0</x:v>
      </x:c>
      <x:c r="I230" s="23" t="str">
        <x:v>데이터 없음</x:v>
      </x:c>
      <x:c r="J230" s="23" t="str">
        <x:v>unassigned</x:v>
      </x:c>
      <x:c r="K230" s="26" t="str">
        <x:v>unassigned</x:v>
      </x:c>
    </x:row>
    <x:row r="231">
      <x:c r="A231" s="22" t="str">
        <x:v>미배정</x:v>
      </x:c>
      <x:c r="B231" s="23" t="str">
        <x:v>미배정</x:v>
      </x:c>
      <x:c r="C231" s="23" t="str">
        <x:v>유지</x:v>
      </x:c>
      <x:c r="D231" s="23" t="str">
        <x:v>제주특별자치도</x:v>
      </x:c>
      <x:c r="E231" s="23" t="str">
        <x:v>서귀포시</x:v>
      </x:c>
      <x:c r="F231" s="24"/>
      <x:c r="G231" s="24"/>
      <x:c r="H231" s="25" t="n">
        <x:f>IFERROR(G231/F231,0)</x:f>
        <x:v>0</x:v>
      </x:c>
      <x:c r="I231" s="23" t="str">
        <x:v>데이터 없음</x:v>
      </x:c>
      <x:c r="J231" s="23" t="str">
        <x:v>unassigned</x:v>
      </x:c>
      <x:c r="K231" s="26" t="str">
        <x:v>unassigned</x:v>
      </x:c>
    </x:row>
    <x:row r="232">
      <x:c r="A232" s="22" t="str">
        <x:v>미배정</x:v>
      </x:c>
      <x:c r="B232" s="23" t="str">
        <x:v>미배정</x:v>
      </x:c>
      <x:c r="C232" s="23" t="str">
        <x:v>유지</x:v>
      </x:c>
      <x:c r="D232" s="23" t="str">
        <x:v>제주특별자치도</x:v>
      </x:c>
      <x:c r="E232" s="23" t="str">
        <x:v>제주시</x:v>
      </x:c>
      <x:c r="F232" s="24"/>
      <x:c r="G232" s="24"/>
      <x:c r="H232" s="25" t="n">
        <x:f>IFERROR(G232/F232,0)</x:f>
        <x:v>0</x:v>
      </x:c>
      <x:c r="I232" s="23" t="str">
        <x:v>데이터 없음</x:v>
      </x:c>
      <x:c r="J232" s="23" t="str">
        <x:v>unassigned</x:v>
      </x:c>
      <x:c r="K232" s="26" t="str">
        <x:v>unassigned</x:v>
      </x:c>
    </x:row>
    <x:row r="233">
      <x:c r="A233" s="22" t="str">
        <x:v>미배정</x:v>
      </x:c>
      <x:c r="B233" s="23" t="str">
        <x:v>미배정</x:v>
      </x:c>
      <x:c r="C233" s="23" t="str">
        <x:v>유지</x:v>
      </x:c>
      <x:c r="D233" s="23" t="str">
        <x:v>충청남도</x:v>
      </x:c>
      <x:c r="E233" s="23" t="str">
        <x:v>계룡시</x:v>
      </x:c>
      <x:c r="F233" s="24"/>
      <x:c r="G233" s="24"/>
      <x:c r="H233" s="25" t="n">
        <x:f>IFERROR(G233/F233,0)</x:f>
        <x:v>0</x:v>
      </x:c>
      <x:c r="I233" s="23" t="str">
        <x:v>데이터 없음</x:v>
      </x:c>
      <x:c r="J233" s="23" t="str">
        <x:v>unassigned</x:v>
      </x:c>
      <x:c r="K233" s="26" t="str">
        <x:v>unassigned</x:v>
      </x:c>
    </x:row>
    <x:row r="234">
      <x:c r="A234" s="22" t="str">
        <x:v>미배정</x:v>
      </x:c>
      <x:c r="B234" s="23" t="str">
        <x:v>미배정</x:v>
      </x:c>
      <x:c r="C234" s="23" t="str">
        <x:v>유지</x:v>
      </x:c>
      <x:c r="D234" s="23" t="str">
        <x:v>충청남도</x:v>
      </x:c>
      <x:c r="E234" s="23" t="str">
        <x:v>공주시</x:v>
      </x:c>
      <x:c r="F234" s="24"/>
      <x:c r="G234" s="24"/>
      <x:c r="H234" s="25" t="n">
        <x:f>IFERROR(G234/F234,0)</x:f>
        <x:v>0</x:v>
      </x:c>
      <x:c r="I234" s="23" t="str">
        <x:v>데이터 없음</x:v>
      </x:c>
      <x:c r="J234" s="23" t="str">
        <x:v>unassigned</x:v>
      </x:c>
      <x:c r="K234" s="26" t="str">
        <x:v>unassigned</x:v>
      </x:c>
    </x:row>
    <x:row r="235">
      <x:c r="A235" s="22" t="str">
        <x:v>미배정</x:v>
      </x:c>
      <x:c r="B235" s="23" t="str">
        <x:v>미배정</x:v>
      </x:c>
      <x:c r="C235" s="23" t="str">
        <x:v>유지</x:v>
      </x:c>
      <x:c r="D235" s="23" t="str">
        <x:v>충청남도</x:v>
      </x:c>
      <x:c r="E235" s="23" t="str">
        <x:v>금산군</x:v>
      </x:c>
      <x:c r="F235" s="24"/>
      <x:c r="G235" s="24"/>
      <x:c r="H235" s="25" t="n">
        <x:f>IFERROR(G235/F235,0)</x:f>
        <x:v>0</x:v>
      </x:c>
      <x:c r="I235" s="23" t="str">
        <x:v>데이터 없음</x:v>
      </x:c>
      <x:c r="J235" s="23" t="str">
        <x:v>unassigned</x:v>
      </x:c>
      <x:c r="K235" s="26" t="str">
        <x:v>unassigned</x:v>
      </x:c>
    </x:row>
    <x:row r="236">
      <x:c r="A236" s="22" t="str">
        <x:v>미배정</x:v>
      </x:c>
      <x:c r="B236" s="23" t="str">
        <x:v>미배정</x:v>
      </x:c>
      <x:c r="C236" s="23" t="str">
        <x:v>유지</x:v>
      </x:c>
      <x:c r="D236" s="23" t="str">
        <x:v>충청남도</x:v>
      </x:c>
      <x:c r="E236" s="23" t="str">
        <x:v>논산시</x:v>
      </x:c>
      <x:c r="F236" s="24"/>
      <x:c r="G236" s="24"/>
      <x:c r="H236" s="25" t="n">
        <x:f>IFERROR(G236/F236,0)</x:f>
        <x:v>0</x:v>
      </x:c>
      <x:c r="I236" s="23" t="str">
        <x:v>데이터 없음</x:v>
      </x:c>
      <x:c r="J236" s="23" t="str">
        <x:v>unassigned</x:v>
      </x:c>
      <x:c r="K236" s="26" t="str">
        <x:v>unassigned</x:v>
      </x:c>
    </x:row>
    <x:row r="237">
      <x:c r="A237" s="22" t="str">
        <x:v>미배정</x:v>
      </x:c>
      <x:c r="B237" s="23" t="str">
        <x:v>미배정</x:v>
      </x:c>
      <x:c r="C237" s="23" t="str">
        <x:v>유지</x:v>
      </x:c>
      <x:c r="D237" s="23" t="str">
        <x:v>충청남도</x:v>
      </x:c>
      <x:c r="E237" s="23" t="str">
        <x:v>보령시</x:v>
      </x:c>
      <x:c r="F237" s="24"/>
      <x:c r="G237" s="24"/>
      <x:c r="H237" s="25" t="n">
        <x:f>IFERROR(G237/F237,0)</x:f>
        <x:v>0</x:v>
      </x:c>
      <x:c r="I237" s="23" t="str">
        <x:v>데이터 없음</x:v>
      </x:c>
      <x:c r="J237" s="23" t="str">
        <x:v>unassigned</x:v>
      </x:c>
      <x:c r="K237" s="26" t="str">
        <x:v>unassigned</x:v>
      </x:c>
    </x:row>
    <x:row r="238">
      <x:c r="A238" s="22" t="str">
        <x:v>미배정</x:v>
      </x:c>
      <x:c r="B238" s="23" t="str">
        <x:v>미배정</x:v>
      </x:c>
      <x:c r="C238" s="23" t="str">
        <x:v>유지</x:v>
      </x:c>
      <x:c r="D238" s="23" t="str">
        <x:v>충청남도</x:v>
      </x:c>
      <x:c r="E238" s="23" t="str">
        <x:v>부여군</x:v>
      </x:c>
      <x:c r="F238" s="24"/>
      <x:c r="G238" s="24"/>
      <x:c r="H238" s="25" t="n">
        <x:f>IFERROR(G238/F238,0)</x:f>
        <x:v>0</x:v>
      </x:c>
      <x:c r="I238" s="23" t="str">
        <x:v>데이터 없음</x:v>
      </x:c>
      <x:c r="J238" s="23" t="str">
        <x:v>unassigned</x:v>
      </x:c>
      <x:c r="K238" s="26" t="str">
        <x:v>unassigned</x:v>
      </x:c>
    </x:row>
    <x:row r="239">
      <x:c r="A239" s="22" t="str">
        <x:v>미배정</x:v>
      </x:c>
      <x:c r="B239" s="23" t="str">
        <x:v>미배정</x:v>
      </x:c>
      <x:c r="C239" s="23" t="str">
        <x:v>유지</x:v>
      </x:c>
      <x:c r="D239" s="23" t="str">
        <x:v>충청남도</x:v>
      </x:c>
      <x:c r="E239" s="23" t="str">
        <x:v>서천군</x:v>
      </x:c>
      <x:c r="F239" s="24"/>
      <x:c r="G239" s="24"/>
      <x:c r="H239" s="25" t="n">
        <x:f>IFERROR(G239/F239,0)</x:f>
        <x:v>0</x:v>
      </x:c>
      <x:c r="I239" s="23" t="str">
        <x:v>데이터 없음</x:v>
      </x:c>
      <x:c r="J239" s="23" t="str">
        <x:v>unassigned</x:v>
      </x:c>
      <x:c r="K239" s="26" t="str">
        <x:v>unassigned</x:v>
      </x:c>
    </x:row>
    <x:row r="240">
      <x:c r="A240" s="22" t="str">
        <x:v>미배정</x:v>
      </x:c>
      <x:c r="B240" s="23" t="str">
        <x:v>미배정</x:v>
      </x:c>
      <x:c r="C240" s="23" t="str">
        <x:v>유지</x:v>
      </x:c>
      <x:c r="D240" s="23" t="str">
        <x:v>충청남도</x:v>
      </x:c>
      <x:c r="E240" s="23" t="str">
        <x:v>예산군</x:v>
      </x:c>
      <x:c r="F240" s="24"/>
      <x:c r="G240" s="24"/>
      <x:c r="H240" s="25" t="n">
        <x:f>IFERROR(G240/F240,0)</x:f>
        <x:v>0</x:v>
      </x:c>
      <x:c r="I240" s="23" t="str">
        <x:v>데이터 없음</x:v>
      </x:c>
      <x:c r="J240" s="23" t="str">
        <x:v>unassigned</x:v>
      </x:c>
      <x:c r="K240" s="26" t="str">
        <x:v>unassigned</x:v>
      </x:c>
    </x:row>
    <x:row r="241">
      <x:c r="A241" s="22" t="str">
        <x:v>미배정</x:v>
      </x:c>
      <x:c r="B241" s="23" t="str">
        <x:v>미배정</x:v>
      </x:c>
      <x:c r="C241" s="23" t="str">
        <x:v>유지</x:v>
      </x:c>
      <x:c r="D241" s="23" t="str">
        <x:v>충청남도</x:v>
      </x:c>
      <x:c r="E241" s="23" t="str">
        <x:v>청양군</x:v>
      </x:c>
      <x:c r="F241" s="24"/>
      <x:c r="G241" s="24"/>
      <x:c r="H241" s="25" t="n">
        <x:f>IFERROR(G241/F241,0)</x:f>
        <x:v>0</x:v>
      </x:c>
      <x:c r="I241" s="23" t="str">
        <x:v>데이터 없음</x:v>
      </x:c>
      <x:c r="J241" s="23" t="str">
        <x:v>unassigned</x:v>
      </x:c>
      <x:c r="K241" s="26" t="str">
        <x:v>unassigned</x:v>
      </x:c>
    </x:row>
    <x:row r="242">
      <x:c r="A242" s="22" t="str">
        <x:v>미배정</x:v>
      </x:c>
      <x:c r="B242" s="23" t="str">
        <x:v>미배정</x:v>
      </x:c>
      <x:c r="C242" s="23" t="str">
        <x:v>유지</x:v>
      </x:c>
      <x:c r="D242" s="23" t="str">
        <x:v>충청남도</x:v>
      </x:c>
      <x:c r="E242" s="23" t="str">
        <x:v>홍성군</x:v>
      </x:c>
      <x:c r="F242" s="24"/>
      <x:c r="G242" s="24"/>
      <x:c r="H242" s="25" t="n">
        <x:f>IFERROR(G242/F242,0)</x:f>
        <x:v>0</x:v>
      </x:c>
      <x:c r="I242" s="23" t="str">
        <x:v>데이터 없음</x:v>
      </x:c>
      <x:c r="J242" s="23" t="str">
        <x:v>unassigned</x:v>
      </x:c>
      <x:c r="K242" s="26" t="str">
        <x:v>unassigned</x:v>
      </x:c>
    </x:row>
    <x:row r="243">
      <x:c r="A243" s="22" t="str">
        <x:v>미배정</x:v>
      </x:c>
      <x:c r="B243" s="23" t="str">
        <x:v>미배정</x:v>
      </x:c>
      <x:c r="C243" s="23" t="str">
        <x:v>유지</x:v>
      </x:c>
      <x:c r="D243" s="23" t="str">
        <x:v>충청북도</x:v>
      </x:c>
      <x:c r="E243" s="23" t="str">
        <x:v>괴산군</x:v>
      </x:c>
      <x:c r="F243" s="24"/>
      <x:c r="G243" s="24"/>
      <x:c r="H243" s="25" t="n">
        <x:f>IFERROR(G243/F243,0)</x:f>
        <x:v>0</x:v>
      </x:c>
      <x:c r="I243" s="23" t="str">
        <x:v>데이터 없음</x:v>
      </x:c>
      <x:c r="J243" s="23" t="str">
        <x:v>unassigned</x:v>
      </x:c>
      <x:c r="K243" s="26" t="str">
        <x:v>unassigned</x:v>
      </x:c>
    </x:row>
    <x:row r="244">
      <x:c r="A244" s="22" t="str">
        <x:v>미배정</x:v>
      </x:c>
      <x:c r="B244" s="23" t="str">
        <x:v>미배정</x:v>
      </x:c>
      <x:c r="C244" s="23" t="str">
        <x:v>유지</x:v>
      </x:c>
      <x:c r="D244" s="23" t="str">
        <x:v>충청북도</x:v>
      </x:c>
      <x:c r="E244" s="23" t="str">
        <x:v>단양군</x:v>
      </x:c>
      <x:c r="F244" s="24" t="n">
        <x:v>10220000</x:v>
      </x:c>
      <x:c r="G244" s="24" t="n">
        <x:v>505170</x:v>
      </x:c>
      <x:c r="H244" s="25" t="n">
        <x:f>IFERROR(G244/F244,0)</x:f>
        <x:v>0.04942954990215264</x:v>
      </x:c>
      <x:c r="I244" s="23" t="str">
        <x:v>연결 완료</x:v>
      </x:c>
      <x:c r="J244" s="23" t="str">
        <x:v>unassigned</x:v>
      </x:c>
      <x:c r="K244" s="26" t="str">
        <x:v>unassigned</x:v>
      </x:c>
    </x:row>
    <x:row r="245">
      <x:c r="A245" s="22" t="str">
        <x:v>미배정</x:v>
      </x:c>
      <x:c r="B245" s="23" t="str">
        <x:v>미배정</x:v>
      </x:c>
      <x:c r="C245" s="23" t="str">
        <x:v>유지</x:v>
      </x:c>
      <x:c r="D245" s="23" t="str">
        <x:v>충청북도</x:v>
      </x:c>
      <x:c r="E245" s="23" t="str">
        <x:v>보은군</x:v>
      </x:c>
      <x:c r="F245" s="24"/>
      <x:c r="G245" s="24"/>
      <x:c r="H245" s="25" t="n">
        <x:f>IFERROR(G245/F245,0)</x:f>
        <x:v>0</x:v>
      </x:c>
      <x:c r="I245" s="23" t="str">
        <x:v>데이터 없음</x:v>
      </x:c>
      <x:c r="J245" s="23" t="str">
        <x:v>unassigned</x:v>
      </x:c>
      <x:c r="K245" s="26" t="str">
        <x:v>unassigned</x:v>
      </x:c>
    </x:row>
    <x:row r="246">
      <x:c r="A246" s="22" t="str">
        <x:v>미배정</x:v>
      </x:c>
      <x:c r="B246" s="23" t="str">
        <x:v>미배정</x:v>
      </x:c>
      <x:c r="C246" s="23" t="str">
        <x:v>유지</x:v>
      </x:c>
      <x:c r="D246" s="23" t="str">
        <x:v>충청북도</x:v>
      </x:c>
      <x:c r="E246" s="23" t="str">
        <x:v>영동군</x:v>
      </x:c>
      <x:c r="F246" s="24"/>
      <x:c r="G246" s="24"/>
      <x:c r="H246" s="25" t="n">
        <x:f>IFERROR(G246/F246,0)</x:f>
        <x:v>0</x:v>
      </x:c>
      <x:c r="I246" s="23" t="str">
        <x:v>데이터 없음</x:v>
      </x:c>
      <x:c r="J246" s="23" t="str">
        <x:v>unassigned</x:v>
      </x:c>
      <x:c r="K246" s="26" t="str">
        <x:v>unassigned</x:v>
      </x:c>
    </x:row>
    <x:row r="247">
      <x:c r="A247" s="22" t="str">
        <x:v>미배정</x:v>
      </x:c>
      <x:c r="B247" s="23" t="str">
        <x:v>미배정</x:v>
      </x:c>
      <x:c r="C247" s="23" t="str">
        <x:v>유지</x:v>
      </x:c>
      <x:c r="D247" s="23" t="str">
        <x:v>충청북도</x:v>
      </x:c>
      <x:c r="E247" s="23" t="str">
        <x:v>옥천군</x:v>
      </x:c>
      <x:c r="F247" s="24"/>
      <x:c r="G247" s="24"/>
      <x:c r="H247" s="25" t="n">
        <x:f>IFERROR(G247/F247,0)</x:f>
        <x:v>0</x:v>
      </x:c>
      <x:c r="I247" s="23" t="str">
        <x:v>데이터 없음</x:v>
      </x:c>
      <x:c r="J247" s="23" t="str">
        <x:v>unassigned</x:v>
      </x:c>
      <x:c r="K247" s="26" t="str">
        <x:v>unassigned</x:v>
      </x:c>
    </x:row>
    <x:row r="248">
      <x:c r="A248" s="22" t="str">
        <x:v>미배정</x:v>
      </x:c>
      <x:c r="B248" s="23" t="str">
        <x:v>미배정</x:v>
      </x:c>
      <x:c r="C248" s="23" t="str">
        <x:v>유지</x:v>
      </x:c>
      <x:c r="D248" s="23" t="str">
        <x:v>충청북도</x:v>
      </x:c>
      <x:c r="E248" s="23" t="str">
        <x:v>제천시</x:v>
      </x:c>
      <x:c r="F248" s="24" t="n">
        <x:v>59268510</x:v>
      </x:c>
      <x:c r="G248" s="24" t="n">
        <x:v>2405120</x:v>
      </x:c>
      <x:c r="H248" s="25" t="n">
        <x:f>IFERROR(G248/F248,0)</x:f>
        <x:v>0.04058006519819715</x:v>
      </x:c>
      <x:c r="I248" s="23" t="str">
        <x:v>연결 완료</x:v>
      </x:c>
      <x:c r="J248" s="23" t="str">
        <x:v>unassigned</x:v>
      </x:c>
      <x:c r="K248" s="26" t="str">
        <x:v>unassigned</x:v>
      </x:c>
    </x:row>
    <x:row r="249">
      <x:c r="A249" s="22" t="str">
        <x:v>미배정</x:v>
      </x:c>
      <x:c r="B249" s="23" t="str">
        <x:v>미배정</x:v>
      </x:c>
      <x:c r="C249" s="23" t="str">
        <x:v>유지</x:v>
      </x:c>
      <x:c r="D249" s="23" t="str">
        <x:v>충청북도</x:v>
      </x:c>
      <x:c r="E249" s="23" t="str">
        <x:v>증평군</x:v>
      </x:c>
      <x:c r="F249" s="24"/>
      <x:c r="G249" s="24"/>
      <x:c r="H249" s="25" t="n">
        <x:f>IFERROR(G249/F249,0)</x:f>
        <x:v>0</x:v>
      </x:c>
      <x:c r="I249" s="23" t="str">
        <x:v>데이터 없음</x:v>
      </x:c>
      <x:c r="J249" s="23" t="str">
        <x:v>unassigned</x:v>
      </x:c>
      <x:c r="K249" s="26" t="str">
        <x:v>unassigned</x:v>
      </x:c>
    </x:row>
    <x:row r="250">
      <x:c r="A250" s="22" t="str">
        <x:v>미배정</x:v>
      </x:c>
      <x:c r="B250" s="23" t="str">
        <x:v>미배정</x:v>
      </x:c>
      <x:c r="C250" s="23" t="str">
        <x:v>유지</x:v>
      </x:c>
      <x:c r="D250" s="23" t="str">
        <x:v>충청북도</x:v>
      </x:c>
      <x:c r="E250" s="23" t="str">
        <x:v>청주시 상당구</x:v>
      </x:c>
      <x:c r="F250" s="24"/>
      <x:c r="G250" s="24"/>
      <x:c r="H250" s="25" t="n">
        <x:f>IFERROR(G250/F250,0)</x:f>
        <x:v>0</x:v>
      </x:c>
      <x:c r="I250" s="23" t="str">
        <x:v>데이터 없음</x:v>
      </x:c>
      <x:c r="J250" s="23" t="str">
        <x:v>unassigned</x:v>
      </x:c>
      <x:c r="K250" s="26" t="str">
        <x:v>unassigned</x:v>
      </x:c>
    </x:row>
    <x:row r="251">
      <x:c r="A251" s="22" t="str">
        <x:v>미배정</x:v>
      </x:c>
      <x:c r="B251" s="23" t="str">
        <x:v>미배정</x:v>
      </x:c>
      <x:c r="C251" s="23" t="str">
        <x:v>유지</x:v>
      </x:c>
      <x:c r="D251" s="23" t="str">
        <x:v>충청북도</x:v>
      </x:c>
      <x:c r="E251" s="23" t="str">
        <x:v>청주시 서원구</x:v>
      </x:c>
      <x:c r="F251" s="24"/>
      <x:c r="G251" s="24"/>
      <x:c r="H251" s="25" t="n">
        <x:f>IFERROR(G251/F251,0)</x:f>
        <x:v>0</x:v>
      </x:c>
      <x:c r="I251" s="23" t="str">
        <x:v>데이터 없음</x:v>
      </x:c>
      <x:c r="J251" s="23" t="str">
        <x:v>unassigned</x:v>
      </x:c>
      <x:c r="K251" s="26" t="str">
        <x:v>unassigned</x:v>
      </x:c>
    </x:row>
    <x:row r="252">
      <x:c r="A252" s="22" t="str">
        <x:v>미배정</x:v>
      </x:c>
      <x:c r="B252" s="23" t="str">
        <x:v>미배정</x:v>
      </x:c>
      <x:c r="C252" s="23" t="str">
        <x:v>유지</x:v>
      </x:c>
      <x:c r="D252" s="23" t="str">
        <x:v>충청북도</x:v>
      </x:c>
      <x:c r="E252" s="23" t="str">
        <x:v>청주시 청원구</x:v>
      </x:c>
      <x:c r="F252" s="24"/>
      <x:c r="G252" s="24"/>
      <x:c r="H252" s="25" t="n">
        <x:f>IFERROR(G252/F252,0)</x:f>
        <x:v>0</x:v>
      </x:c>
      <x:c r="I252" s="23" t="str">
        <x:v>데이터 없음</x:v>
      </x:c>
      <x:c r="J252" s="23" t="str">
        <x:v>unassigned</x:v>
      </x:c>
      <x:c r="K252" s="26" t="str">
        <x:v>unassigned</x:v>
      </x:c>
    </x:row>
    <x:row r="253">
      <x:c r="A253" s="22" t="str">
        <x:v>미배정</x:v>
      </x:c>
      <x:c r="B253" s="23" t="str">
        <x:v>미배정</x:v>
      </x:c>
      <x:c r="C253" s="23" t="str">
        <x:v>유지</x:v>
      </x:c>
      <x:c r="D253" s="23" t="str">
        <x:v>충청북도</x:v>
      </x:c>
      <x:c r="E253" s="23" t="str">
        <x:v>청주시 흥덕구</x:v>
      </x:c>
      <x:c r="F253" s="24"/>
      <x:c r="G253" s="24"/>
      <x:c r="H253" s="25" t="n">
        <x:f>IFERROR(G253/F253,0)</x:f>
        <x:v>0</x:v>
      </x:c>
      <x:c r="I253" s="23" t="str">
        <x:v>데이터 없음</x:v>
      </x:c>
      <x:c r="J253" s="23" t="str">
        <x:v>unassigned</x:v>
      </x:c>
      <x:c r="K253" s="26" t="str">
        <x:v>unassigned</x:v>
      </x:c>
    </x:row>
    <x:row r="254">
      <x:c r="A254" s="22" t="str">
        <x:v>미배정</x:v>
      </x:c>
      <x:c r="B254" s="23" t="str">
        <x:v>미배정</x:v>
      </x:c>
      <x:c r="C254" s="23" t="str">
        <x:v>유지</x:v>
      </x:c>
      <x:c r="D254" s="23" t="str">
        <x:v>충청북도</x:v>
      </x:c>
      <x:c r="E254" s="23" t="str">
        <x:v>충주시</x:v>
      </x:c>
      <x:c r="F254" s="24" t="n">
        <x:v>134827000</x:v>
      </x:c>
      <x:c r="G254" s="24" t="n">
        <x:v>6165330</x:v>
      </x:c>
      <x:c r="H254" s="25" t="n">
        <x:f>IFERROR(G254/F254,0)</x:f>
        <x:v>0.04572771032508326</x:v>
      </x:c>
      <x:c r="I254" s="23" t="str">
        <x:v>연결 완료</x:v>
      </x:c>
      <x:c r="J254" s="23" t="str">
        <x:v>unassigned</x:v>
      </x:c>
      <x:c r="K254" s="26" t="str">
        <x:v>unassigned</x:v>
      </x:c>
    </x:row>
    <x:row r="255">
      <x:c r="A255" s="27" t="str">
        <x:v>지도 연결 합계</x:v>
      </x:c>
      <x:c r="B255" s="28" t="str">
        <x:v>-</x:v>
      </x:c>
      <x:c r="C255" s="28" t="str">
        <x:v>합계</x:v>
      </x:c>
      <x:c r="D255" s="28" t="str">
        <x:v>-</x:v>
      </x:c>
      <x:c r="E255" s="28" t="str">
        <x:v>-</x:v>
      </x:c>
      <x:c r="F255" s="29" t="n">
        <x:f>SUM(F5:F254)</x:f>
        <x:v>46025290106</x:v>
      </x:c>
      <x:c r="G255" s="29" t="n">
        <x:f>SUM(G5:G254)</x:f>
        <x:v>1984369093</x:v>
      </x:c>
      <x:c r="H255" s="30" t="n">
        <x:f>IFERROR(G255/F255,0)</x:f>
        <x:v>0.04311475470181363</x:v>
      </x:c>
      <x:c r="I255" s="28" t="str">
        <x:v>연결 지역 합계</x:v>
      </x:c>
      <x:c r="J255" s="28" t="str">
        <x:v>TOTAL</x:v>
      </x:c>
      <x:c r="K255" s="31" t="str">
        <x:v>TOTAL</x:v>
      </x:c>
    </x:row>
  </x:sheetData>
  <x:mergeCells>
    <x:mergeCell ref="A1:K1"/>
    <x:mergeCell ref="A2:K2"/>
  </x:mergeCells>
  <x:conditionalFormatting sqref="C5:C254">
    <x:cfRule type="containsText" dxfId="0" priority="1" operator="containsText" text="변경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58" hidden="0" customWidth="1"/>
  </x:cols>
  <x:sheetData>
    <x:row r="1">
      <x:c r="A1" s="3" t="str">
        <x:v>미연결 원본 데이터</x:v>
      </x:c>
      <x:c r="B1" s="3"/>
      <x:c r="C1" s="3"/>
      <x:c r="D1" s="3"/>
    </x:row>
    <x:row r="2">
      <x:c r="A2" s="34" t="str">
        <x:v>시도 정보가 없어 동명 시군구 중 하나로 확정할 수 없는 데이터입니다. 권역 합계에는 배분하지 않고 원본 전체 합계에만 포함합니다.</x:v>
      </x:c>
      <x:c r="B2" s="34"/>
      <x:c r="C2" s="34"/>
      <x:c r="D2" s="34"/>
    </x:row>
    <x:row r="4">
      <x:c r="A4" s="9" t="str">
        <x:v>지역명</x:v>
      </x:c>
      <x:c r="B4" s="9" t="str">
        <x:v>시공결과금액</x:v>
      </x:c>
      <x:c r="C4" s="9" t="str">
        <x:v>정상시공비</x:v>
      </x:c>
      <x:c r="D4" s="9" t="str">
        <x:v>후보 지역</x:v>
      </x:c>
    </x:row>
    <x:row r="5">
      <x:c r="A5" s="17" t="str">
        <x:v>강서구</x:v>
      </x:c>
      <x:c r="B5" s="19" t="n">
        <x:v>1318664990</x:v>
      </x:c>
      <x:c r="C5" s="19" t="n">
        <x:v>56255470</x:v>
      </x:c>
      <x:c r="D5" s="21" t="str">
        <x:v>서울특별시 강서구, 부산광역시 강서구</x:v>
      </x:c>
    </x:row>
    <x:row r="6">
      <x:c r="A6" s="22" t="str">
        <x:v>고성군</x:v>
      </x:c>
      <x:c r="B6" s="24" t="n">
        <x:v>11100000</x:v>
      </x:c>
      <x:c r="C6" s="24" t="n">
        <x:v>529080</x:v>
      </x:c>
      <x:c r="D6" s="26" t="str">
        <x:v>경상남도 고성군, 강원특별자치도 고성군</x:v>
      </x:c>
    </x:row>
    <x:row r="7">
      <x:c r="A7" s="22" t="str">
        <x:v>남구</x:v>
      </x:c>
      <x:c r="B7" s="24" t="n">
        <x:v>31667000</x:v>
      </x:c>
      <x:c r="C7" s="24" t="n">
        <x:v>1504760</x:v>
      </x:c>
      <x:c r="D7" s="26" t="str">
        <x:v>부산광역시 남구, 대구광역시 남구, 광주광역시 남구, 울산광역시 남구</x:v>
      </x:c>
    </x:row>
    <x:row r="8">
      <x:c r="A8" s="22" t="str">
        <x:v>동구</x:v>
      </x:c>
      <x:c r="B8" s="24" t="n">
        <x:v>30495000</x:v>
      </x:c>
      <x:c r="C8" s="24" t="n">
        <x:v>1334280</x:v>
      </x:c>
      <x:c r="D8" s="26" t="str">
        <x:v>부산광역시 동구, 대구광역시 동구, 인천광역시 동구, 광주광역시 동구, 대전광역시 동구, 울산광역시 동구</x:v>
      </x:c>
    </x:row>
    <x:row r="9">
      <x:c r="A9" s="22" t="str">
        <x:v>서구</x:v>
      </x:c>
      <x:c r="B9" s="24" t="n">
        <x:v>546579900</x:v>
      </x:c>
      <x:c r="C9" s="24" t="n">
        <x:v>22403990</x:v>
      </x:c>
      <x:c r="D9" s="26" t="str">
        <x:v>부산광역시 서구, 대구광역시 서구, 인천광역시 서구, 광주광역시 서구, 대전광역시 서구</x:v>
      </x:c>
    </x:row>
    <x:row r="10">
      <x:c r="A10" s="22" t="str">
        <x:v>중구</x:v>
      </x:c>
      <x:c r="B10" s="24" t="n">
        <x:v>3250486212</x:v>
      </x:c>
      <x:c r="C10" s="24" t="n">
        <x:v>139183710</x:v>
      </x:c>
      <x:c r="D10" s="26" t="str">
        <x:v>서울특별시 중구, 부산광역시 중구, 대구광역시 중구, 인천광역시 중구, 대전광역시 중구, 울산광역시 중구</x:v>
      </x:c>
    </x:row>
    <x:row r="11">
      <x:c r="A11" s="27" t="str">
        <x:v>미연결 합계</x:v>
      </x:c>
      <x:c r="B11" s="29" t="n">
        <x:f>SUM(B5:B10)</x:f>
        <x:v>5188993102</x:v>
      </x:c>
      <x:c r="C11" s="29" t="n">
        <x:f>SUM(C5:C10)</x:f>
        <x:v>221211290</x:v>
      </x:c>
      <x:c r="D11" s="31" t="str">
        <x:v>-</x:v>
      </x:c>
    </x:row>
  </x:sheetData>
  <x:mergeCells>
    <x:mergeCell ref="A1:D1"/>
    <x:mergeCell ref="A2:D2"/>
  </x:mergeCells>
  <x:pageMargins left="0.7" right="0.7" top="0.75" bottom="0.75" header="0.3" footer="0.3"/>
</x:worksheet>
</file>